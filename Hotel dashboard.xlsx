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D:\"/>
    </mc:Choice>
  </mc:AlternateContent>
  <xr:revisionPtr revIDLastSave="0" documentId="8_{87679F0E-6F8C-458B-A872-283F4412A6CA}" xr6:coauthVersionLast="47" xr6:coauthVersionMax="47" xr10:uidLastSave="{00000000-0000-0000-0000-000000000000}"/>
  <bookViews>
    <workbookView xWindow="-108" yWindow="-108" windowWidth="23256" windowHeight="12456" activeTab="2" xr2:uid="{3A1E24DA-2207-4DA1-BE19-8EF0217572AA}"/>
  </bookViews>
  <sheets>
    <sheet name="data" sheetId="1" r:id="rId1"/>
    <sheet name="pv" sheetId="3" r:id="rId2"/>
    <sheet name="Hotel Dashboard" sheetId="5" r:id="rId3"/>
  </sheets>
  <definedNames>
    <definedName name="_xlchart.v2.0" hidden="1">pv!$L$15:$L$22</definedName>
    <definedName name="_xlchart.v2.1" hidden="1">pv!$M$15:$M$22</definedName>
    <definedName name="_xlchart.v2.2" hidden="1">pv!$L$15:$L$22</definedName>
    <definedName name="_xlchart.v2.3" hidden="1">pv!$M$15:$M$22</definedName>
    <definedName name="_xlchart.v2.4" hidden="1">pv!$L$15:$L$22</definedName>
    <definedName name="_xlchart.v2.5" hidden="1">pv!$M$15:$M$22</definedName>
    <definedName name="Slicer_Year">#N/A</definedName>
  </definedNames>
  <calcPr calcId="191029"/>
  <pivotCaches>
    <pivotCache cacheId="15"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43" i="3" l="1"/>
  <c r="D41" i="3"/>
  <c r="D39" i="3"/>
  <c r="Q132" i="1"/>
  <c r="Q131" i="1"/>
  <c r="Q130" i="1"/>
  <c r="Q129" i="1"/>
  <c r="Q128" i="1"/>
  <c r="Q127" i="1"/>
  <c r="Q126" i="1"/>
  <c r="Q125" i="1"/>
  <c r="Q124" i="1"/>
  <c r="Q123" i="1"/>
  <c r="Q122" i="1"/>
  <c r="Q121" i="1"/>
  <c r="Q120" i="1"/>
  <c r="Q119" i="1"/>
  <c r="Q118" i="1"/>
  <c r="Q117" i="1"/>
  <c r="Q116" i="1"/>
  <c r="Q115" i="1"/>
  <c r="Q114" i="1"/>
  <c r="Q113" i="1"/>
  <c r="Q112" i="1"/>
  <c r="Q111" i="1"/>
  <c r="Q110" i="1"/>
  <c r="Q109" i="1"/>
  <c r="Q108" i="1"/>
  <c r="Q107" i="1"/>
  <c r="Q106" i="1"/>
  <c r="Q105" i="1"/>
  <c r="Q104" i="1"/>
  <c r="Q103" i="1"/>
  <c r="Q102" i="1"/>
  <c r="Q101" i="1"/>
  <c r="Q100" i="1"/>
  <c r="Q99" i="1"/>
  <c r="Q98" i="1"/>
  <c r="Q97" i="1"/>
  <c r="Q96" i="1"/>
  <c r="Q95" i="1"/>
  <c r="Q94" i="1"/>
  <c r="Q93" i="1"/>
  <c r="Q92" i="1"/>
  <c r="Q91" i="1"/>
  <c r="Q90" i="1"/>
  <c r="Q89" i="1"/>
  <c r="Q88" i="1"/>
  <c r="Q87" i="1"/>
  <c r="Q86" i="1"/>
  <c r="Q85" i="1"/>
  <c r="Q84" i="1"/>
  <c r="Q83" i="1"/>
  <c r="Q82" i="1"/>
  <c r="Q81" i="1"/>
  <c r="Q80" i="1"/>
  <c r="Q79" i="1"/>
  <c r="Q78" i="1"/>
  <c r="Q77" i="1"/>
  <c r="Q76" i="1"/>
  <c r="Q75" i="1"/>
  <c r="Q74" i="1"/>
  <c r="Q73" i="1"/>
  <c r="Q72" i="1"/>
  <c r="Q71" i="1"/>
  <c r="Q70" i="1"/>
  <c r="Q69" i="1"/>
  <c r="Q68" i="1"/>
  <c r="Q67" i="1"/>
  <c r="Q66" i="1"/>
  <c r="Q65" i="1"/>
  <c r="Q64" i="1"/>
  <c r="Q63" i="1"/>
  <c r="Q62" i="1"/>
  <c r="Q61" i="1"/>
  <c r="Q60" i="1"/>
  <c r="Q59" i="1"/>
  <c r="Q58" i="1"/>
  <c r="Q57" i="1"/>
  <c r="Q56" i="1"/>
  <c r="Q55" i="1"/>
  <c r="Q54" i="1"/>
  <c r="Q53" i="1"/>
  <c r="Q52" i="1"/>
  <c r="Q51" i="1"/>
  <c r="Q50" i="1"/>
  <c r="Q49" i="1"/>
  <c r="Q48" i="1"/>
  <c r="Q47" i="1"/>
  <c r="Q46" i="1"/>
  <c r="Q45" i="1"/>
  <c r="Q44" i="1"/>
  <c r="Q43" i="1"/>
  <c r="Q42" i="1"/>
  <c r="Q41" i="1"/>
  <c r="Q40" i="1"/>
  <c r="Q39" i="1"/>
  <c r="Q38" i="1"/>
  <c r="Q37" i="1"/>
  <c r="Q36" i="1"/>
  <c r="Q35" i="1"/>
  <c r="Q34" i="1"/>
  <c r="Q33" i="1"/>
  <c r="Q32" i="1"/>
  <c r="Q31" i="1"/>
  <c r="Q30" i="1"/>
  <c r="Q29" i="1"/>
  <c r="Q28" i="1"/>
  <c r="Q27" i="1"/>
  <c r="Q26" i="1"/>
  <c r="Q25" i="1"/>
  <c r="Q24" i="1"/>
  <c r="Q23" i="1"/>
  <c r="Q22" i="1"/>
  <c r="Q21" i="1"/>
  <c r="Q20" i="1"/>
  <c r="Q19" i="1"/>
  <c r="Q18" i="1"/>
  <c r="Q17" i="1"/>
  <c r="Q16" i="1"/>
  <c r="Q15" i="1"/>
  <c r="Q14" i="1"/>
  <c r="Q13" i="1"/>
  <c r="Q12" i="1"/>
  <c r="Q11" i="1"/>
  <c r="Q10" i="1"/>
  <c r="Q9" i="1"/>
  <c r="Q8" i="1"/>
  <c r="Q7" i="1"/>
  <c r="Q6" i="1"/>
  <c r="Q5" i="1"/>
  <c r="Q4" i="1"/>
  <c r="Q3" i="1"/>
  <c r="Q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8B26494-A89E-42EB-B52B-0BFE827334B1}" keepAlive="1" name="Query - Table2" description="Connection to the 'Table2' query in the workbook." type="5" refreshedVersion="0" background="1">
    <dbPr connection="Provider=Microsoft.Mashup.OleDb.1;Data Source=$Workbook$;Location=Table2;Extended Properties=&quot;&quot;" command="SELECT * FROM [Table2]"/>
  </connection>
</connections>
</file>

<file path=xl/sharedStrings.xml><?xml version="1.0" encoding="utf-8"?>
<sst xmlns="http://schemas.openxmlformats.org/spreadsheetml/2006/main" count="1562" uniqueCount="117">
  <si>
    <t>Year</t>
  </si>
  <si>
    <t>Month</t>
  </si>
  <si>
    <t>Hotel Name</t>
  </si>
  <si>
    <t>Country</t>
  </si>
  <si>
    <t>City</t>
  </si>
  <si>
    <t>Customer ID</t>
  </si>
  <si>
    <t>Customer Age</t>
  </si>
  <si>
    <t>Customer Gender</t>
  </si>
  <si>
    <t>Customer Type</t>
  </si>
  <si>
    <t>Booking Date</t>
  </si>
  <si>
    <t>Room Type</t>
  </si>
  <si>
    <t>Booking Status</t>
  </si>
  <si>
    <t>Room Booked</t>
  </si>
  <si>
    <t>Room Available</t>
  </si>
  <si>
    <t>Price</t>
  </si>
  <si>
    <t>Payment Mode</t>
  </si>
  <si>
    <t>Total Revenue</t>
  </si>
  <si>
    <t>Profit</t>
  </si>
  <si>
    <t>Jan</t>
  </si>
  <si>
    <t>Opera House</t>
  </si>
  <si>
    <t>Australia</t>
  </si>
  <si>
    <t>Sydney</t>
  </si>
  <si>
    <t>CID00</t>
  </si>
  <si>
    <t>Female</t>
  </si>
  <si>
    <t>Existing</t>
  </si>
  <si>
    <t>Business Class</t>
  </si>
  <si>
    <t>Cancelled</t>
  </si>
  <si>
    <t>Online</t>
  </si>
  <si>
    <t>Apr</t>
  </si>
  <si>
    <t>Hames Palace</t>
  </si>
  <si>
    <t>United Kingdom</t>
  </si>
  <si>
    <t>London</t>
  </si>
  <si>
    <t>CID01</t>
  </si>
  <si>
    <t>Male</t>
  </si>
  <si>
    <t>Pending</t>
  </si>
  <si>
    <t>Credit Card</t>
  </si>
  <si>
    <t>Jun</t>
  </si>
  <si>
    <t>Marine Resort</t>
  </si>
  <si>
    <t>India</t>
  </si>
  <si>
    <t>Mumbai</t>
  </si>
  <si>
    <t>CID03</t>
  </si>
  <si>
    <t>New</t>
  </si>
  <si>
    <t>Single</t>
  </si>
  <si>
    <t>Confirmed</t>
  </si>
  <si>
    <t>Oct</t>
  </si>
  <si>
    <t>CID08</t>
  </si>
  <si>
    <t>Super Luxury</t>
  </si>
  <si>
    <t>Dec</t>
  </si>
  <si>
    <t>CID09</t>
  </si>
  <si>
    <t>Sharing</t>
  </si>
  <si>
    <t>Cash</t>
  </si>
  <si>
    <t>Sep</t>
  </si>
  <si>
    <t>CID12</t>
  </si>
  <si>
    <t>Mar</t>
  </si>
  <si>
    <t>CID14</t>
  </si>
  <si>
    <t>Aug</t>
  </si>
  <si>
    <t>CID15</t>
  </si>
  <si>
    <t>May</t>
  </si>
  <si>
    <t>CID16</t>
  </si>
  <si>
    <t>Empire Grand</t>
  </si>
  <si>
    <t>United States</t>
  </si>
  <si>
    <t>New York</t>
  </si>
  <si>
    <t>CID17</t>
  </si>
  <si>
    <t>Debit Card</t>
  </si>
  <si>
    <t>CID23</t>
  </si>
  <si>
    <t>Regular</t>
  </si>
  <si>
    <t>CID24</t>
  </si>
  <si>
    <t>CID26</t>
  </si>
  <si>
    <t>Delux</t>
  </si>
  <si>
    <t>Nov</t>
  </si>
  <si>
    <t>Palace Inn</t>
  </si>
  <si>
    <t>United Arab Emirates</t>
  </si>
  <si>
    <t>Abu Dhabi</t>
  </si>
  <si>
    <t>CID27</t>
  </si>
  <si>
    <t>CID33</t>
  </si>
  <si>
    <t>CID36</t>
  </si>
  <si>
    <t>Jul</t>
  </si>
  <si>
    <t>CID38</t>
  </si>
  <si>
    <t>CID39</t>
  </si>
  <si>
    <t>CID43</t>
  </si>
  <si>
    <t>Luxury</t>
  </si>
  <si>
    <t>CID44</t>
  </si>
  <si>
    <t>CID45</t>
  </si>
  <si>
    <t>CID51</t>
  </si>
  <si>
    <t>CID52</t>
  </si>
  <si>
    <t>CID57</t>
  </si>
  <si>
    <t>CID58</t>
  </si>
  <si>
    <t>View Hotel</t>
  </si>
  <si>
    <t>CID60</t>
  </si>
  <si>
    <t>CID61</t>
  </si>
  <si>
    <t>CID63</t>
  </si>
  <si>
    <t>Inn Eve</t>
  </si>
  <si>
    <t>Italy</t>
  </si>
  <si>
    <t>Rome</t>
  </si>
  <si>
    <t>Hotel Sunshine</t>
  </si>
  <si>
    <t>Feb</t>
  </si>
  <si>
    <t>Bangalore</t>
  </si>
  <si>
    <t>Melbourne</t>
  </si>
  <si>
    <t>Milan</t>
  </si>
  <si>
    <t>Los Angeles</t>
  </si>
  <si>
    <t>Chicago</t>
  </si>
  <si>
    <t>Birmingham</t>
  </si>
  <si>
    <t>Grand Total</t>
  </si>
  <si>
    <t>Sum of Room Available</t>
  </si>
  <si>
    <t>hotel name</t>
  </si>
  <si>
    <t>Count of Hotel Name</t>
  </si>
  <si>
    <t>Sum of Room Booked</t>
  </si>
  <si>
    <t>Count of Customer ID</t>
  </si>
  <si>
    <t>customer id</t>
  </si>
  <si>
    <t>city</t>
  </si>
  <si>
    <t>country</t>
  </si>
  <si>
    <t>Count of Customer ID2</t>
  </si>
  <si>
    <t>cust type</t>
  </si>
  <si>
    <t>room type</t>
  </si>
  <si>
    <t>Sum of Profit</t>
  </si>
  <si>
    <t>month</t>
  </si>
  <si>
    <t xml:space="preserve">Customer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</si>
</sst>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_-* #,##0.00_-;\-* #,##0.00_-;_-* &quot;-&quot;??_-;_-@_-"/>
    <numFmt numFmtId="165" formatCode="_-* #,##0_-;\-* #,##0_-;_-* &quot;-&quot;??_-;_-@_-"/>
    <numFmt numFmtId="168" formatCode="0,,&quot;M&quot;"/>
    <numFmt numFmtId="169" formatCode="0,&quot;K&quot;"/>
    <numFmt numFmtId="170" formatCode="0,&quot;M&quot;"/>
  </numFmts>
  <fonts count="3" x14ac:knownFonts="1">
    <font>
      <sz val="11"/>
      <color theme="1"/>
      <name val="Aptos Narrow"/>
      <family val="2"/>
      <scheme val="minor"/>
    </font>
    <font>
      <sz val="11"/>
      <color theme="1"/>
      <name val="Aptos Narrow"/>
      <family val="2"/>
      <scheme val="minor"/>
    </font>
    <font>
      <sz val="11"/>
      <color theme="1"/>
      <name val="Calibri"/>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164" fontId="1" fillId="0" borderId="0" applyFont="0" applyFill="0" applyBorder="0" applyAlignment="0" applyProtection="0"/>
  </cellStyleXfs>
  <cellXfs count="17">
    <xf numFmtId="0" fontId="0" fillId="0" borderId="0" xfId="0"/>
    <xf numFmtId="0" fontId="2" fillId="0" borderId="0" xfId="0" applyFont="1" applyAlignment="1">
      <alignment vertical="center" wrapText="1"/>
    </xf>
    <xf numFmtId="0" fontId="2" fillId="0" borderId="0" xfId="0" applyFont="1"/>
    <xf numFmtId="14" fontId="2" fillId="0" borderId="0" xfId="0" applyNumberFormat="1" applyFont="1"/>
    <xf numFmtId="165" fontId="2" fillId="0" borderId="0" xfId="1" applyNumberFormat="1" applyFont="1"/>
    <xf numFmtId="14" fontId="2" fillId="0" borderId="0" xfId="0" applyNumberFormat="1" applyFont="1" applyAlignment="1">
      <alignment vertical="center" wrapText="1"/>
    </xf>
    <xf numFmtId="14" fontId="0" fillId="0" borderId="0" xfId="0" applyNumberFormat="1"/>
    <xf numFmtId="0" fontId="0" fillId="0" borderId="0" xfId="0" applyNumberFormat="1"/>
    <xf numFmtId="0" fontId="2" fillId="0" borderId="0" xfId="0" applyNumberFormat="1" applyFont="1" applyAlignment="1">
      <alignment vertical="center" wrapText="1"/>
    </xf>
    <xf numFmtId="0" fontId="2" fillId="0" borderId="0" xfId="1" applyNumberFormat="1" applyFont="1"/>
    <xf numFmtId="0" fontId="0" fillId="0" borderId="0" xfId="0" pivotButton="1"/>
    <xf numFmtId="0" fontId="0" fillId="0" borderId="0" xfId="0" applyAlignment="1">
      <alignment horizontal="left"/>
    </xf>
    <xf numFmtId="10" fontId="0" fillId="0" borderId="0" xfId="0" applyNumberFormat="1"/>
    <xf numFmtId="168" fontId="0" fillId="0" borderId="0" xfId="0" applyNumberFormat="1"/>
    <xf numFmtId="169" fontId="0" fillId="0" borderId="0" xfId="0" applyNumberFormat="1"/>
    <xf numFmtId="0" fontId="0" fillId="2" borderId="0" xfId="0" applyFill="1"/>
    <xf numFmtId="170" fontId="0" fillId="0" borderId="0" xfId="0" applyNumberFormat="1"/>
  </cellXfs>
  <cellStyles count="2">
    <cellStyle name="Comma" xfId="1" builtinId="3"/>
    <cellStyle name="Normal" xfId="0" builtinId="0"/>
  </cellStyles>
  <dxfs count="21">
    <dxf>
      <font>
        <b/>
        <i val="0"/>
        <sz val="24"/>
        <color theme="3" tint="9.9948118533890809E-2"/>
      </font>
      <fill>
        <patternFill>
          <bgColor theme="0"/>
        </patternFill>
      </fill>
      <border>
        <left style="thin">
          <color auto="1"/>
        </left>
        <right style="thin">
          <color auto="1"/>
        </right>
        <top style="thin">
          <color auto="1"/>
        </top>
        <bottom style="thin">
          <color auto="1"/>
        </bottom>
      </border>
    </dxf>
    <dxf>
      <font>
        <b/>
        <i val="0"/>
        <sz val="28"/>
        <color theme="3" tint="9.9917600024414813E-2"/>
      </font>
      <fill>
        <patternFill>
          <bgColor theme="0"/>
        </patternFill>
      </fill>
      <border>
        <left style="thin">
          <color auto="1"/>
        </left>
        <right style="thin">
          <color auto="1"/>
        </right>
        <top style="thin">
          <color auto="1"/>
        </top>
        <bottom style="thin">
          <color auto="1"/>
        </bottom>
      </border>
    </dxf>
    <dxf>
      <font>
        <b val="0"/>
        <i val="0"/>
        <strike val="0"/>
        <condense val="0"/>
        <extend val="0"/>
        <outline val="0"/>
        <shadow val="0"/>
        <u val="none"/>
        <vertAlign val="baseline"/>
        <sz val="11"/>
        <color theme="1"/>
        <name val="Calibri"/>
        <family val="2"/>
        <scheme val="none"/>
      </font>
      <numFmt numFmtId="0" formatCode="General"/>
    </dxf>
    <dxf>
      <font>
        <b val="0"/>
        <i val="0"/>
        <strike val="0"/>
        <condense val="0"/>
        <extend val="0"/>
        <outline val="0"/>
        <shadow val="0"/>
        <u val="none"/>
        <vertAlign val="baseline"/>
        <sz val="11"/>
        <color theme="1"/>
        <name val="Calibri"/>
        <family val="2"/>
        <scheme val="none"/>
      </font>
      <numFmt numFmtId="165" formatCode="_-* #,##0_-;\-* #,##0_-;_-* &quot;-&quot;??_-;_-@_-"/>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numFmt numFmtId="19" formatCode="m/d/yyyy"/>
    </dxf>
    <dxf>
      <font>
        <b val="0"/>
        <i val="0"/>
        <strike val="0"/>
        <condense val="0"/>
        <extend val="0"/>
        <outline val="0"/>
        <shadow val="0"/>
        <u val="none"/>
        <vertAlign val="baseline"/>
        <sz val="11"/>
        <color theme="1"/>
        <name val="Calibri"/>
        <family val="2"/>
        <scheme val="none"/>
      </font>
      <numFmt numFmtId="166" formatCode="dd/mm/yyyy"/>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numFmt numFmtId="166" formatCode="dd/mm/yyyy"/>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numFmt numFmtId="0" formatCode="General"/>
      <fill>
        <patternFill patternType="none">
          <fgColor indexed="64"/>
          <bgColor auto="1"/>
        </patternFill>
      </fill>
    </dxf>
    <dxf>
      <font>
        <b val="0"/>
        <i val="0"/>
        <strike val="0"/>
        <condense val="0"/>
        <extend val="0"/>
        <outline val="0"/>
        <shadow val="0"/>
        <u val="none"/>
        <vertAlign val="baseline"/>
        <sz val="11"/>
        <color theme="1"/>
        <name val="Calibri"/>
        <family val="2"/>
        <scheme val="none"/>
      </font>
      <numFmt numFmtId="0" formatCode="General"/>
      <fill>
        <patternFill patternType="none">
          <fgColor indexed="64"/>
          <bgColor auto="1"/>
        </patternFill>
      </fill>
    </dxf>
    <dxf>
      <font>
        <b val="0"/>
        <i val="0"/>
        <strike val="0"/>
        <condense val="0"/>
        <extend val="0"/>
        <outline val="0"/>
        <shadow val="0"/>
        <u val="none"/>
        <vertAlign val="baseline"/>
        <sz val="11"/>
        <color theme="1"/>
        <name val="Calibri"/>
        <family val="2"/>
        <scheme val="none"/>
      </font>
      <alignment horizontal="general" vertical="center" textRotation="0" wrapText="1" indent="0" justifyLastLine="0" shrinkToFit="0" readingOrder="0"/>
    </dxf>
  </dxfs>
  <tableStyles count="2" defaultTableStyle="TableStyleMedium2" defaultPivotStyle="PivotStyleLight16">
    <tableStyle name="Slicer Style 1" pivot="0" table="0" count="3" xr9:uid="{74E0A5D4-FA27-4315-B558-FAF03B62C694}">
      <tableStyleElement type="headerRow" dxfId="1"/>
    </tableStyle>
    <tableStyle name="Slicer Style 2" pivot="0" table="0" count="9" xr9:uid="{935DD2E9-B966-42ED-B4C6-8C2482A5EEF2}">
      <tableStyleElement type="headerRow" dxfId="0"/>
    </tableStyle>
  </tableStyles>
  <extLst>
    <ext xmlns:x14="http://schemas.microsoft.com/office/spreadsheetml/2009/9/main" uri="{46F421CA-312F-682f-3DD2-61675219B42D}">
      <x14:dxfs count="10">
        <dxf>
          <font>
            <b/>
            <i/>
            <sz val="22"/>
            <color theme="0"/>
          </font>
          <fill>
            <patternFill>
              <bgColor theme="3" tint="0.24994659260841701"/>
            </patternFill>
          </fill>
          <border>
            <left style="thin">
              <color auto="1"/>
            </left>
            <right style="thin">
              <color auto="1"/>
            </right>
            <top style="thin">
              <color auto="1"/>
            </top>
            <bottom style="thin">
              <color auto="1"/>
            </bottom>
          </border>
        </dxf>
        <dxf>
          <font>
            <b/>
            <i/>
            <sz val="22"/>
            <color theme="0"/>
          </font>
          <fill>
            <patternFill>
              <bgColor theme="3" tint="0.24994659260841701"/>
            </patternFill>
          </fill>
          <border>
            <left style="thin">
              <color auto="1"/>
            </left>
            <right style="thin">
              <color auto="1"/>
            </right>
            <top style="thin">
              <color auto="1"/>
            </top>
            <bottom style="thin">
              <color auto="1"/>
            </bottom>
          </border>
        </dxf>
        <dxf>
          <font>
            <b/>
            <i/>
            <sz val="22"/>
            <color theme="0"/>
          </font>
          <fill>
            <patternFill>
              <bgColor theme="3" tint="0.24994659260841701"/>
            </patternFill>
          </fill>
          <border>
            <left style="thin">
              <color auto="1"/>
            </left>
            <right style="thin">
              <color auto="1"/>
            </right>
            <top style="thin">
              <color auto="1"/>
            </top>
            <bottom style="thin">
              <color auto="1"/>
            </bottom>
          </border>
        </dxf>
        <dxf>
          <font>
            <b/>
            <i/>
            <sz val="22"/>
            <color theme="0"/>
          </font>
          <fill>
            <patternFill>
              <bgColor theme="3" tint="0.24994659260841701"/>
            </patternFill>
          </fill>
          <border>
            <left style="thin">
              <color auto="1"/>
            </left>
            <right style="thin">
              <color auto="1"/>
            </right>
            <top style="thin">
              <color auto="1"/>
            </top>
            <bottom style="thin">
              <color auto="1"/>
            </bottom>
          </border>
        </dxf>
        <dxf>
          <font>
            <b/>
            <i/>
            <sz val="22"/>
            <color theme="0"/>
          </font>
          <fill>
            <patternFill>
              <bgColor theme="3" tint="0.24994659260841701"/>
            </patternFill>
          </fill>
          <border>
            <left style="thin">
              <color auto="1"/>
            </left>
            <right style="thin">
              <color auto="1"/>
            </right>
            <top style="thin">
              <color auto="1"/>
            </top>
            <bottom style="thin">
              <color auto="1"/>
            </bottom>
          </border>
        </dxf>
        <dxf>
          <font>
            <b/>
            <i/>
            <sz val="22"/>
            <color theme="0"/>
          </font>
          <fill>
            <patternFill>
              <bgColor theme="3" tint="0.24994659260841701"/>
            </patternFill>
          </fill>
          <border>
            <left style="thin">
              <color auto="1"/>
            </left>
            <right style="thin">
              <color auto="1"/>
            </right>
            <top style="thin">
              <color auto="1"/>
            </top>
            <bottom style="thin">
              <color auto="1"/>
            </bottom>
          </border>
        </dxf>
        <dxf>
          <font>
            <b/>
            <i/>
            <sz val="22"/>
            <color theme="0"/>
          </font>
          <fill>
            <patternFill>
              <bgColor theme="3" tint="0.24994659260841701"/>
            </patternFill>
          </fill>
          <border>
            <left style="thin">
              <color auto="1"/>
            </left>
            <right style="thin">
              <color auto="1"/>
            </right>
            <top style="thin">
              <color auto="1"/>
            </top>
            <bottom style="thin">
              <color auto="1"/>
            </bottom>
          </border>
        </dxf>
        <dxf>
          <font>
            <b/>
            <i/>
            <sz val="22"/>
            <color theme="0"/>
          </font>
          <fill>
            <patternFill>
              <bgColor theme="3" tint="0.24994659260841701"/>
            </patternFill>
          </fill>
          <border>
            <left style="thin">
              <color auto="1"/>
            </left>
            <right style="thin">
              <color auto="1"/>
            </right>
            <top style="thin">
              <color auto="1"/>
            </top>
            <bottom style="thin">
              <color auto="1"/>
            </bottom>
          </border>
        </dxf>
        <dxf>
          <font>
            <b/>
            <i val="0"/>
            <sz val="24"/>
            <color theme="0"/>
          </font>
          <fill>
            <patternFill>
              <bgColor theme="3" tint="0.499984740745262"/>
            </patternFill>
          </fill>
          <border>
            <left style="thin">
              <color auto="1"/>
            </left>
            <right style="thin">
              <color auto="1"/>
            </right>
            <top style="thin">
              <color auto="1"/>
            </top>
            <bottom style="thin">
              <color auto="1"/>
            </bottom>
          </border>
        </dxf>
        <dxf>
          <font>
            <b/>
            <i val="0"/>
            <sz val="24"/>
            <color theme="0"/>
          </font>
          <fill>
            <patternFill>
              <bgColor theme="3" tint="0.24994659260841701"/>
            </patternFill>
          </fill>
          <border>
            <left style="thin">
              <color auto="1"/>
            </left>
            <right style="thin">
              <color auto="1"/>
            </right>
            <top style="thin">
              <color auto="1"/>
            </top>
            <bottom style="thin">
              <color auto="1"/>
            </bottom>
          </border>
        </dxf>
      </x14:dxfs>
    </ext>
    <ext xmlns:x14="http://schemas.microsoft.com/office/spreadsheetml/2009/9/main" uri="{EB79DEF2-80B8-43e5-95BD-54CBDDF9020C}">
      <x14:slicerStyles defaultSlicerStyle="SlicerStyleLight1">
        <x14:slicerStyle name="Slicer Style 1">
          <x14:slicerStyleElements>
            <x14:slicerStyleElement type="hoveredUnselectedItemWithData" dxfId="9"/>
            <x14:slicerStyleElement type="hoveredSelectedItemWithNoData" dxfId="8"/>
          </x14:slicerStyleElements>
        </x14:slicerStyle>
        <x14:slicerStyle name="Slicer Style 2">
          <x14:slicerStyleElements>
            <x14:slicerStyleElement type="unselectedItemWithData" dxfId="5"/>
            <x14:slicerStyleElement type="unselectedItemWithNoData" dxfId="2"/>
            <x14:slicerStyleElement type="selectedItemWithData" dxfId="7"/>
            <x14:slicerStyleElement type="selectedItemWithNoData" dxfId="6"/>
            <x14:slicerStyleElement type="hoveredUnselectedItemWithData" dxfId="1"/>
            <x14:slicerStyleElement type="hoveredSelectedItemWithData" dxfId="4"/>
            <x14:slicerStyleElement type="hoveredUnselectedItemWithNoData" dxfId="0"/>
            <x14:slicerStyleElement type="hoveredSelectedItemWithNoData" dxfId="3"/>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6"/>
    </mc:Choice>
    <mc:Fallback>
      <c:style val="6"/>
    </mc:Fallback>
  </mc:AlternateContent>
  <c:pivotSource>
    <c:name>[Hotel dashboard.xlsx]pv!country</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400" b="1">
                <a:solidFill>
                  <a:schemeClr val="tx2">
                    <a:lumMod val="90000"/>
                    <a:lumOff val="10000"/>
                  </a:schemeClr>
                </a:solidFill>
              </a:rPr>
              <a:t>Room Booked by country</a:t>
            </a:r>
          </a:p>
        </c:rich>
      </c:tx>
      <c:layout>
        <c:manualLayout>
          <c:xMode val="edge"/>
          <c:yMode val="edge"/>
          <c:x val="0.54219478218291017"/>
          <c:y val="1.846684341666501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4"/>
          </a:solidFill>
          <a:ln w="19050">
            <a:solidFill>
              <a:schemeClr val="lt1"/>
            </a:solidFill>
          </a:ln>
          <a:effectLst/>
        </c:spPr>
        <c:dLbl>
          <c:idx val="0"/>
          <c:layout>
            <c:manualLayout>
              <c:x val="8.8888888888888892E-2"/>
              <c:y val="-7.40740740740740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4"/>
          </a:solidFill>
          <a:ln w="19050">
            <a:solidFill>
              <a:schemeClr val="lt1"/>
            </a:solidFill>
          </a:ln>
          <a:effectLst/>
        </c:spPr>
        <c:dLbl>
          <c:idx val="0"/>
          <c:layout>
            <c:manualLayout>
              <c:x val="-6.6666666666666666E-2"/>
              <c:y val="-9.722222222222223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4"/>
          </a:solidFill>
          <a:ln w="19050">
            <a:solidFill>
              <a:schemeClr val="lt1"/>
            </a:solidFill>
          </a:ln>
          <a:effectLst/>
        </c:spPr>
        <c:dLbl>
          <c:idx val="0"/>
          <c:layout>
            <c:manualLayout>
              <c:x val="-0.16111111111111115"/>
              <c:y val="-3.240740740740748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4"/>
          </a:solidFill>
          <a:ln w="19050">
            <a:solidFill>
              <a:schemeClr val="lt1"/>
            </a:solidFill>
          </a:ln>
          <a:effectLst/>
        </c:spPr>
        <c:dLbl>
          <c:idx val="0"/>
          <c:layout>
            <c:manualLayout>
              <c:x val="-0.18055555555555555"/>
              <c:y val="1.851851851851843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4"/>
          </a:solidFill>
          <a:ln w="19050">
            <a:solidFill>
              <a:schemeClr val="lt1"/>
            </a:solidFill>
          </a:ln>
          <a:effectLst/>
        </c:spPr>
        <c:dLbl>
          <c:idx val="0"/>
          <c:layout>
            <c:manualLayout>
              <c:x val="-0.12500000000000006"/>
              <c:y val="8.333333333333332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4"/>
          </a:solidFill>
          <a:ln w="19050">
            <a:solidFill>
              <a:schemeClr val="lt1"/>
            </a:solidFill>
          </a:ln>
          <a:effectLst/>
        </c:spPr>
        <c:dLbl>
          <c:idx val="0"/>
          <c:layout>
            <c:manualLayout>
              <c:x val="0.1"/>
              <c:y val="0.12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4"/>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4"/>
          </a:solidFill>
          <a:ln w="19050">
            <a:solidFill>
              <a:schemeClr val="lt1"/>
            </a:solidFill>
          </a:ln>
          <a:effectLst/>
        </c:spPr>
        <c:dLbl>
          <c:idx val="0"/>
          <c:layout>
            <c:manualLayout>
              <c:x val="8.8888888888888892E-2"/>
              <c:y val="-7.40740740740740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4"/>
          </a:solidFill>
          <a:ln w="19050">
            <a:solidFill>
              <a:schemeClr val="lt1"/>
            </a:solidFill>
          </a:ln>
          <a:effectLst/>
        </c:spPr>
        <c:dLbl>
          <c:idx val="0"/>
          <c:layout>
            <c:manualLayout>
              <c:x val="0.1"/>
              <c:y val="0.12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4"/>
          </a:solidFill>
          <a:ln w="19050">
            <a:solidFill>
              <a:schemeClr val="lt1"/>
            </a:solidFill>
          </a:ln>
          <a:effectLst/>
        </c:spPr>
        <c:dLbl>
          <c:idx val="0"/>
          <c:layout>
            <c:manualLayout>
              <c:x val="-0.12500000000000006"/>
              <c:y val="8.333333333333332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4"/>
          </a:solidFill>
          <a:ln w="19050">
            <a:solidFill>
              <a:schemeClr val="lt1"/>
            </a:solidFill>
          </a:ln>
          <a:effectLst/>
        </c:spPr>
        <c:dLbl>
          <c:idx val="0"/>
          <c:layout>
            <c:manualLayout>
              <c:x val="-0.18055555555555555"/>
              <c:y val="1.851851851851843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4"/>
          </a:solidFill>
          <a:ln w="19050">
            <a:solidFill>
              <a:schemeClr val="lt1"/>
            </a:solidFill>
          </a:ln>
          <a:effectLst/>
        </c:spPr>
        <c:dLbl>
          <c:idx val="0"/>
          <c:layout>
            <c:manualLayout>
              <c:x val="-0.16111111111111115"/>
              <c:y val="-3.240740740740748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4"/>
          </a:solidFill>
          <a:ln w="19050">
            <a:solidFill>
              <a:schemeClr val="lt1"/>
            </a:solidFill>
          </a:ln>
          <a:effectLst/>
        </c:spPr>
        <c:dLbl>
          <c:idx val="0"/>
          <c:layout>
            <c:manualLayout>
              <c:x val="-6.6666666666666666E-2"/>
              <c:y val="-9.722222222222223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4"/>
          </a:solidFill>
          <a:ln w="19050">
            <a:solidFill>
              <a:schemeClr val="lt1"/>
            </a:solidFill>
          </a:ln>
          <a:effectLst>
            <a:outerShdw blurRad="50800" dist="38100" dir="2700000" algn="tl" rotWithShape="0">
              <a:prstClr val="black">
                <a:alpha val="40000"/>
              </a:prstClr>
            </a:outerShdw>
          </a:effectLst>
        </c:spPr>
        <c:marker>
          <c:symbol val="none"/>
        </c:marker>
        <c:dLbl>
          <c:idx val="0"/>
          <c:spPr>
            <a:solidFill>
              <a:sysClr val="window" lastClr="FFFFFF"/>
            </a:solidFill>
            <a:ln>
              <a:solidFill>
                <a:sysClr val="windowText" lastClr="000000">
                  <a:lumMod val="25000"/>
                  <a:lumOff val="75000"/>
                </a:sysClr>
              </a:solidFill>
            </a:ln>
            <a:effectLst>
              <a:outerShdw blurRad="50800" dist="38100" dir="2700000" algn="tl" rotWithShape="0">
                <a:srgbClr val="0E2841">
                  <a:lumMod val="90000"/>
                  <a:lumOff val="10000"/>
                  <a:alpha val="40000"/>
                </a:srgbClr>
              </a:outerShdw>
            </a:effectLst>
          </c:spPr>
          <c:txPr>
            <a:bodyPr rot="0" spcFirstLastPara="1" vertOverflow="clip" horzOverflow="clip" vert="horz" wrap="square" lIns="38100" tIns="19050" rIns="38100" bIns="19050" anchor="ctr" anchorCtr="1">
              <a:spAutoFit/>
            </a:bodyPr>
            <a:lstStyle/>
            <a:p>
              <a:pPr>
                <a:defRPr sz="1760" b="1" i="0" u="none" strike="noStrike" kern="1200" baseline="0">
                  <a:solidFill>
                    <a:schemeClr val="tx2">
                      <a:lumMod val="90000"/>
                      <a:lumOff val="1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4"/>
          </a:solidFill>
          <a:ln w="19050">
            <a:solidFill>
              <a:schemeClr val="lt1"/>
            </a:solidFill>
          </a:ln>
          <a:effectLst>
            <a:outerShdw blurRad="50800" dist="38100" dir="2700000" algn="tl" rotWithShape="0">
              <a:prstClr val="black">
                <a:alpha val="40000"/>
              </a:prstClr>
            </a:outerShdw>
          </a:effectLst>
        </c:spPr>
        <c:dLbl>
          <c:idx val="0"/>
          <c:layout>
            <c:manualLayout>
              <c:x val="8.8888888888888892E-2"/>
              <c:y val="-7.407407407407407E-2"/>
            </c:manualLayout>
          </c:layout>
          <c:spPr>
            <a:solidFill>
              <a:sysClr val="window" lastClr="FFFFFF"/>
            </a:solidFill>
            <a:ln>
              <a:solidFill>
                <a:sysClr val="windowText" lastClr="000000">
                  <a:lumMod val="25000"/>
                  <a:lumOff val="75000"/>
                </a:sysClr>
              </a:solidFill>
            </a:ln>
            <a:effectLst>
              <a:outerShdw blurRad="50800" dist="38100" dir="2700000" algn="tl" rotWithShape="0">
                <a:srgbClr val="0E2841">
                  <a:lumMod val="90000"/>
                  <a:lumOff val="10000"/>
                  <a:alpha val="40000"/>
                </a:srgbClr>
              </a:outerShdw>
            </a:effectLst>
          </c:spPr>
          <c:txPr>
            <a:bodyPr rot="0" spcFirstLastPara="1" vertOverflow="clip" horzOverflow="clip" vert="horz" wrap="square" lIns="38100" tIns="19050" rIns="38100" bIns="19050" anchor="ctr" anchorCtr="1">
              <a:spAutoFit/>
            </a:bodyPr>
            <a:lstStyle/>
            <a:p>
              <a:pPr>
                <a:defRPr sz="1760" b="1" i="0" u="none" strike="noStrike" kern="1200" baseline="0">
                  <a:solidFill>
                    <a:schemeClr val="tx2">
                      <a:lumMod val="90000"/>
                      <a:lumOff val="1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4"/>
          </a:solidFill>
          <a:ln w="19050">
            <a:solidFill>
              <a:schemeClr val="lt1"/>
            </a:solidFill>
          </a:ln>
          <a:effectLst>
            <a:outerShdw blurRad="50800" dist="38100" dir="2700000" algn="tl" rotWithShape="0">
              <a:prstClr val="black">
                <a:alpha val="40000"/>
              </a:prstClr>
            </a:outerShdw>
          </a:effectLst>
        </c:spPr>
        <c:dLbl>
          <c:idx val="0"/>
          <c:layout>
            <c:manualLayout>
              <c:x val="0.1"/>
              <c:y val="0.125"/>
            </c:manualLayout>
          </c:layout>
          <c:spPr>
            <a:solidFill>
              <a:sysClr val="window" lastClr="FFFFFF"/>
            </a:solidFill>
            <a:ln>
              <a:solidFill>
                <a:sysClr val="windowText" lastClr="000000">
                  <a:lumMod val="25000"/>
                  <a:lumOff val="75000"/>
                </a:sysClr>
              </a:solidFill>
            </a:ln>
            <a:effectLst>
              <a:outerShdw blurRad="50800" dist="38100" dir="2700000" algn="tl" rotWithShape="0">
                <a:srgbClr val="0E2841">
                  <a:lumMod val="90000"/>
                  <a:lumOff val="10000"/>
                  <a:alpha val="40000"/>
                </a:srgbClr>
              </a:outerShdw>
            </a:effectLst>
          </c:spPr>
          <c:txPr>
            <a:bodyPr rot="0" spcFirstLastPara="1" vertOverflow="clip" horzOverflow="clip" vert="horz" wrap="square" lIns="38100" tIns="19050" rIns="38100" bIns="19050" anchor="ctr" anchorCtr="1">
              <a:spAutoFit/>
            </a:bodyPr>
            <a:lstStyle/>
            <a:p>
              <a:pPr>
                <a:defRPr sz="1760" b="1" i="0" u="none" strike="noStrike" kern="1200" baseline="0">
                  <a:solidFill>
                    <a:schemeClr val="tx2">
                      <a:lumMod val="90000"/>
                      <a:lumOff val="1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4"/>
          </a:solidFill>
          <a:ln w="19050">
            <a:solidFill>
              <a:schemeClr val="lt1"/>
            </a:solidFill>
          </a:ln>
          <a:effectLst>
            <a:outerShdw blurRad="50800" dist="38100" dir="2700000" algn="tl" rotWithShape="0">
              <a:prstClr val="black">
                <a:alpha val="40000"/>
              </a:prstClr>
            </a:outerShdw>
          </a:effectLst>
        </c:spPr>
        <c:dLbl>
          <c:idx val="0"/>
          <c:layout>
            <c:manualLayout>
              <c:x val="-0.17016301489681379"/>
              <c:y val="8.3333349356068523E-2"/>
            </c:manualLayout>
          </c:layout>
          <c:spPr>
            <a:solidFill>
              <a:sysClr val="window" lastClr="FFFFFF"/>
            </a:solidFill>
            <a:ln>
              <a:solidFill>
                <a:sysClr val="windowText" lastClr="000000">
                  <a:lumMod val="25000"/>
                  <a:lumOff val="75000"/>
                </a:sysClr>
              </a:solidFill>
            </a:ln>
            <a:effectLst>
              <a:outerShdw blurRad="50800" dist="38100" dir="2700000" algn="tl" rotWithShape="0">
                <a:srgbClr val="0E2841">
                  <a:lumMod val="90000"/>
                  <a:lumOff val="10000"/>
                  <a:alpha val="40000"/>
                </a:srgbClr>
              </a:outerShdw>
            </a:effectLst>
          </c:spPr>
          <c:txPr>
            <a:bodyPr rot="0" spcFirstLastPara="1" vertOverflow="clip" horzOverflow="clip" vert="horz" wrap="square" lIns="38100" tIns="19050" rIns="38100" bIns="19050" anchor="ctr" anchorCtr="1">
              <a:spAutoFit/>
            </a:bodyPr>
            <a:lstStyle/>
            <a:p>
              <a:pPr>
                <a:defRPr sz="1760" b="1" i="0" u="none" strike="noStrike" kern="1200" baseline="0">
                  <a:solidFill>
                    <a:schemeClr val="tx2">
                      <a:lumMod val="90000"/>
                      <a:lumOff val="1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chemeClr val="accent4"/>
          </a:solidFill>
          <a:ln w="19050">
            <a:solidFill>
              <a:schemeClr val="lt1"/>
            </a:solidFill>
          </a:ln>
          <a:effectLst>
            <a:outerShdw blurRad="50800" dist="38100" dir="2700000" algn="tl" rotWithShape="0">
              <a:prstClr val="black">
                <a:alpha val="40000"/>
              </a:prstClr>
            </a:outerShdw>
          </a:effectLst>
        </c:spPr>
        <c:dLbl>
          <c:idx val="0"/>
          <c:layout>
            <c:manualLayout>
              <c:x val="-0.18055555555555555"/>
              <c:y val="1.8518518518518434E-2"/>
            </c:manualLayout>
          </c:layout>
          <c:spPr>
            <a:solidFill>
              <a:sysClr val="window" lastClr="FFFFFF"/>
            </a:solidFill>
            <a:ln>
              <a:solidFill>
                <a:sysClr val="windowText" lastClr="000000">
                  <a:lumMod val="25000"/>
                  <a:lumOff val="75000"/>
                </a:sysClr>
              </a:solidFill>
            </a:ln>
            <a:effectLst>
              <a:outerShdw blurRad="50800" dist="38100" dir="2700000" algn="tl" rotWithShape="0">
                <a:srgbClr val="0E2841">
                  <a:lumMod val="90000"/>
                  <a:lumOff val="10000"/>
                  <a:alpha val="40000"/>
                </a:srgbClr>
              </a:outerShdw>
            </a:effectLst>
          </c:spPr>
          <c:txPr>
            <a:bodyPr rot="0" spcFirstLastPara="1" vertOverflow="clip" horzOverflow="clip" vert="horz" wrap="square" lIns="38100" tIns="19050" rIns="38100" bIns="19050" anchor="ctr" anchorCtr="1">
              <a:spAutoFit/>
            </a:bodyPr>
            <a:lstStyle/>
            <a:p>
              <a:pPr>
                <a:defRPr sz="1760" b="1" i="0" u="none" strike="noStrike" kern="1200" baseline="0">
                  <a:solidFill>
                    <a:schemeClr val="tx2">
                      <a:lumMod val="90000"/>
                      <a:lumOff val="1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chemeClr val="accent4"/>
          </a:solidFill>
          <a:ln w="19050">
            <a:solidFill>
              <a:schemeClr val="lt1"/>
            </a:solidFill>
          </a:ln>
          <a:effectLst>
            <a:outerShdw blurRad="50800" dist="38100" dir="2700000" algn="tl" rotWithShape="0">
              <a:prstClr val="black">
                <a:alpha val="40000"/>
              </a:prstClr>
            </a:outerShdw>
          </a:effectLst>
        </c:spPr>
        <c:dLbl>
          <c:idx val="0"/>
          <c:layout>
            <c:manualLayout>
              <c:x val="-0.16111111111111115"/>
              <c:y val="-3.2407407407407489E-2"/>
            </c:manualLayout>
          </c:layout>
          <c:spPr>
            <a:solidFill>
              <a:sysClr val="window" lastClr="FFFFFF"/>
            </a:solidFill>
            <a:ln>
              <a:solidFill>
                <a:sysClr val="windowText" lastClr="000000">
                  <a:lumMod val="25000"/>
                  <a:lumOff val="75000"/>
                </a:sysClr>
              </a:solidFill>
            </a:ln>
            <a:effectLst>
              <a:outerShdw blurRad="50800" dist="38100" dir="2700000" algn="tl" rotWithShape="0">
                <a:srgbClr val="0E2841">
                  <a:lumMod val="90000"/>
                  <a:lumOff val="10000"/>
                  <a:alpha val="40000"/>
                </a:srgbClr>
              </a:outerShdw>
            </a:effectLst>
          </c:spPr>
          <c:txPr>
            <a:bodyPr rot="0" spcFirstLastPara="1" vertOverflow="clip" horzOverflow="clip" vert="horz" wrap="square" lIns="38100" tIns="19050" rIns="38100" bIns="19050" anchor="ctr" anchorCtr="1">
              <a:spAutoFit/>
            </a:bodyPr>
            <a:lstStyle/>
            <a:p>
              <a:pPr>
                <a:defRPr sz="1760" b="1" i="0" u="none" strike="noStrike" kern="1200" baseline="0">
                  <a:solidFill>
                    <a:schemeClr val="tx2">
                      <a:lumMod val="90000"/>
                      <a:lumOff val="1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solidFill>
            <a:schemeClr val="accent4"/>
          </a:solidFill>
          <a:ln w="19050">
            <a:solidFill>
              <a:schemeClr val="lt1"/>
            </a:solidFill>
          </a:ln>
          <a:effectLst>
            <a:outerShdw blurRad="50800" dist="38100" dir="2700000" algn="tl" rotWithShape="0">
              <a:prstClr val="black">
                <a:alpha val="40000"/>
              </a:prstClr>
            </a:outerShdw>
          </a:effectLst>
        </c:spPr>
        <c:dLbl>
          <c:idx val="0"/>
          <c:layout>
            <c:manualLayout>
              <c:x val="-6.6666666666666666E-2"/>
              <c:y val="-9.7222222222222238E-2"/>
            </c:manualLayout>
          </c:layout>
          <c:spPr>
            <a:solidFill>
              <a:sysClr val="window" lastClr="FFFFFF"/>
            </a:solidFill>
            <a:ln>
              <a:solidFill>
                <a:sysClr val="windowText" lastClr="000000">
                  <a:lumMod val="25000"/>
                  <a:lumOff val="75000"/>
                </a:sysClr>
              </a:solidFill>
            </a:ln>
            <a:effectLst>
              <a:outerShdw blurRad="50800" dist="38100" dir="2700000" algn="tl" rotWithShape="0">
                <a:srgbClr val="0E2841">
                  <a:lumMod val="90000"/>
                  <a:lumOff val="10000"/>
                  <a:alpha val="40000"/>
                </a:srgbClr>
              </a:outerShdw>
            </a:effectLst>
          </c:spPr>
          <c:txPr>
            <a:bodyPr rot="0" spcFirstLastPara="1" vertOverflow="clip" horzOverflow="clip" vert="horz" wrap="square" lIns="38100" tIns="19050" rIns="38100" bIns="19050" anchor="ctr" anchorCtr="1">
              <a:spAutoFit/>
            </a:bodyPr>
            <a:lstStyle/>
            <a:p>
              <a:pPr>
                <a:defRPr sz="1760" b="1" i="0" u="none" strike="noStrike" kern="1200" baseline="0">
                  <a:solidFill>
                    <a:schemeClr val="tx2">
                      <a:lumMod val="90000"/>
                      <a:lumOff val="1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24590919678223552"/>
          <c:y val="0.12789444624402774"/>
          <c:w val="0.55970481938952599"/>
          <c:h val="0.7598959461331124"/>
        </c:manualLayout>
      </c:layout>
      <c:doughnutChart>
        <c:varyColors val="1"/>
        <c:ser>
          <c:idx val="0"/>
          <c:order val="0"/>
          <c:tx>
            <c:strRef>
              <c:f>pv!$H$18</c:f>
              <c:strCache>
                <c:ptCount val="1"/>
                <c:pt idx="0">
                  <c:v>Total</c:v>
                </c:pt>
              </c:strCache>
            </c:strRef>
          </c:tx>
          <c:spPr>
            <a:effectLst>
              <a:outerShdw blurRad="50800" dist="38100" dir="2700000" algn="tl" rotWithShape="0">
                <a:prstClr val="black">
                  <a:alpha val="40000"/>
                </a:prstClr>
              </a:outerShdw>
            </a:effectLst>
          </c:spPr>
          <c:dPt>
            <c:idx val="0"/>
            <c:bubble3D val="0"/>
            <c:explosion val="7"/>
            <c:spPr>
              <a:solidFill>
                <a:schemeClr val="accent4">
                  <a:shade val="50000"/>
                </a:schemeClr>
              </a:solidFill>
              <a:ln w="19050">
                <a:solidFill>
                  <a:schemeClr val="lt1"/>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1-D7AA-4209-BA87-801FE65811C1}"/>
              </c:ext>
            </c:extLst>
          </c:dPt>
          <c:dPt>
            <c:idx val="1"/>
            <c:bubble3D val="0"/>
            <c:explosion val="7"/>
            <c:spPr>
              <a:solidFill>
                <a:schemeClr val="accent4">
                  <a:shade val="70000"/>
                </a:schemeClr>
              </a:solidFill>
              <a:ln w="19050">
                <a:solidFill>
                  <a:schemeClr val="lt1"/>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3-D7AA-4209-BA87-801FE65811C1}"/>
              </c:ext>
            </c:extLst>
          </c:dPt>
          <c:dPt>
            <c:idx val="2"/>
            <c:bubble3D val="0"/>
            <c:explosion val="9"/>
            <c:spPr>
              <a:solidFill>
                <a:schemeClr val="accent4">
                  <a:shade val="90000"/>
                </a:schemeClr>
              </a:solidFill>
              <a:ln w="19050">
                <a:solidFill>
                  <a:schemeClr val="lt1"/>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5-D7AA-4209-BA87-801FE65811C1}"/>
              </c:ext>
            </c:extLst>
          </c:dPt>
          <c:dPt>
            <c:idx val="3"/>
            <c:bubble3D val="0"/>
            <c:explosion val="12"/>
            <c:spPr>
              <a:solidFill>
                <a:schemeClr val="accent4">
                  <a:tint val="90000"/>
                </a:schemeClr>
              </a:solidFill>
              <a:ln w="19050">
                <a:solidFill>
                  <a:schemeClr val="lt1"/>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7-D7AA-4209-BA87-801FE65811C1}"/>
              </c:ext>
            </c:extLst>
          </c:dPt>
          <c:dPt>
            <c:idx val="4"/>
            <c:bubble3D val="0"/>
            <c:explosion val="12"/>
            <c:spPr>
              <a:solidFill>
                <a:schemeClr val="accent4">
                  <a:tint val="70000"/>
                </a:schemeClr>
              </a:solidFill>
              <a:ln w="19050">
                <a:solidFill>
                  <a:schemeClr val="lt1"/>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9-D7AA-4209-BA87-801FE65811C1}"/>
              </c:ext>
            </c:extLst>
          </c:dPt>
          <c:dPt>
            <c:idx val="5"/>
            <c:bubble3D val="0"/>
            <c:explosion val="8"/>
            <c:spPr>
              <a:solidFill>
                <a:schemeClr val="accent4">
                  <a:tint val="50000"/>
                </a:schemeClr>
              </a:solidFill>
              <a:ln w="19050">
                <a:solidFill>
                  <a:schemeClr val="lt1"/>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B-D7AA-4209-BA87-801FE65811C1}"/>
              </c:ext>
            </c:extLst>
          </c:dPt>
          <c:dLbls>
            <c:dLbl>
              <c:idx val="0"/>
              <c:layout>
                <c:manualLayout>
                  <c:x val="8.8888888888888892E-2"/>
                  <c:y val="-7.40740740740740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D7AA-4209-BA87-801FE65811C1}"/>
                </c:ext>
              </c:extLst>
            </c:dLbl>
            <c:dLbl>
              <c:idx val="1"/>
              <c:layout>
                <c:manualLayout>
                  <c:x val="0.1"/>
                  <c:y val="0.125"/>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D7AA-4209-BA87-801FE65811C1}"/>
                </c:ext>
              </c:extLst>
            </c:dLbl>
            <c:dLbl>
              <c:idx val="2"/>
              <c:layout>
                <c:manualLayout>
                  <c:x val="-0.17016301489681379"/>
                  <c:y val="8.3333349356068523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D7AA-4209-BA87-801FE65811C1}"/>
                </c:ext>
              </c:extLst>
            </c:dLbl>
            <c:dLbl>
              <c:idx val="3"/>
              <c:layout>
                <c:manualLayout>
                  <c:x val="-0.18055555555555555"/>
                  <c:y val="1.851851851851843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D7AA-4209-BA87-801FE65811C1}"/>
                </c:ext>
              </c:extLst>
            </c:dLbl>
            <c:dLbl>
              <c:idx val="4"/>
              <c:layout>
                <c:manualLayout>
                  <c:x val="-0.16111111111111115"/>
                  <c:y val="-3.240740740740748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D7AA-4209-BA87-801FE65811C1}"/>
                </c:ext>
              </c:extLst>
            </c:dLbl>
            <c:dLbl>
              <c:idx val="5"/>
              <c:layout>
                <c:manualLayout>
                  <c:x val="-6.6666666666666666E-2"/>
                  <c:y val="-9.722222222222223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B-D7AA-4209-BA87-801FE65811C1}"/>
                </c:ext>
              </c:extLst>
            </c:dLbl>
            <c:spPr>
              <a:solidFill>
                <a:sysClr val="window" lastClr="FFFFFF"/>
              </a:solidFill>
              <a:ln>
                <a:solidFill>
                  <a:sysClr val="windowText" lastClr="000000">
                    <a:lumMod val="25000"/>
                    <a:lumOff val="75000"/>
                  </a:sysClr>
                </a:solidFill>
              </a:ln>
              <a:effectLst>
                <a:outerShdw blurRad="50800" dist="38100" dir="2700000" algn="tl" rotWithShape="0">
                  <a:srgbClr val="0E2841">
                    <a:lumMod val="90000"/>
                    <a:lumOff val="10000"/>
                    <a:alpha val="40000"/>
                  </a:srgbClr>
                </a:outerShdw>
              </a:effectLst>
            </c:spPr>
            <c:txPr>
              <a:bodyPr rot="0" spcFirstLastPara="1" vertOverflow="clip" horzOverflow="clip" vert="horz" wrap="square" lIns="38100" tIns="19050" rIns="38100" bIns="19050" anchor="ctr" anchorCtr="1">
                <a:spAutoFit/>
              </a:bodyPr>
              <a:lstStyle/>
              <a:p>
                <a:pPr>
                  <a:defRPr sz="1760" b="1" i="0" u="none" strike="noStrike" kern="1200" baseline="0">
                    <a:solidFill>
                      <a:schemeClr val="tx2">
                        <a:lumMod val="90000"/>
                        <a:lumOff val="10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pv!$G$19:$G$25</c:f>
              <c:strCache>
                <c:ptCount val="6"/>
                <c:pt idx="0">
                  <c:v>Australia</c:v>
                </c:pt>
                <c:pt idx="1">
                  <c:v>India</c:v>
                </c:pt>
                <c:pt idx="2">
                  <c:v>Italy</c:v>
                </c:pt>
                <c:pt idx="3">
                  <c:v>United Arab Emirates</c:v>
                </c:pt>
                <c:pt idx="4">
                  <c:v>United Kingdom</c:v>
                </c:pt>
                <c:pt idx="5">
                  <c:v>United States</c:v>
                </c:pt>
              </c:strCache>
            </c:strRef>
          </c:cat>
          <c:val>
            <c:numRef>
              <c:f>pv!$H$19:$H$25</c:f>
              <c:numCache>
                <c:formatCode>General</c:formatCode>
                <c:ptCount val="6"/>
                <c:pt idx="0">
                  <c:v>753</c:v>
                </c:pt>
                <c:pt idx="1">
                  <c:v>889</c:v>
                </c:pt>
                <c:pt idx="2">
                  <c:v>352</c:v>
                </c:pt>
                <c:pt idx="3">
                  <c:v>421</c:v>
                </c:pt>
                <c:pt idx="4">
                  <c:v>471</c:v>
                </c:pt>
                <c:pt idx="5">
                  <c:v>484</c:v>
                </c:pt>
              </c:numCache>
            </c:numRef>
          </c:val>
          <c:extLst>
            <c:ext xmlns:c16="http://schemas.microsoft.com/office/drawing/2014/chart" uri="{C3380CC4-5D6E-409C-BE32-E72D297353CC}">
              <c16:uniqueId val="{0000000C-D7AA-4209-BA87-801FE65811C1}"/>
            </c:ext>
          </c:extLst>
        </c:ser>
        <c:dLbls>
          <c:showLegendKey val="0"/>
          <c:showVal val="0"/>
          <c:showCatName val="0"/>
          <c:showSerName val="0"/>
          <c:showPercent val="0"/>
          <c:showBubbleSize val="0"/>
          <c:showLeaderLines val="0"/>
        </c:dLbls>
        <c:firstSliceAng val="0"/>
        <c:holeSize val="66"/>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[Hotel dashboard.xlsx]pv!city</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400" b="1">
                <a:solidFill>
                  <a:schemeClr val="tx2">
                    <a:lumMod val="90000"/>
                    <a:lumOff val="10000"/>
                  </a:schemeClr>
                </a:solidFill>
              </a:rPr>
              <a:t>Room</a:t>
            </a:r>
            <a:r>
              <a:rPr lang="en-US" sz="2400" b="1" baseline="0">
                <a:solidFill>
                  <a:schemeClr val="tx2">
                    <a:lumMod val="90000"/>
                    <a:lumOff val="10000"/>
                  </a:schemeClr>
                </a:solidFill>
              </a:rPr>
              <a:t> Availability in City</a:t>
            </a:r>
            <a:endParaRPr lang="en-US" sz="2400" b="1">
              <a:solidFill>
                <a:schemeClr val="tx2">
                  <a:lumMod val="90000"/>
                  <a:lumOff val="10000"/>
                </a:schemeClr>
              </a:solidFill>
            </a:endParaRPr>
          </a:p>
        </c:rich>
      </c:tx>
      <c:layout>
        <c:manualLayout>
          <c:xMode val="edge"/>
          <c:yMode val="edge"/>
          <c:x val="0.59669210351062596"/>
          <c:y val="2.964988388253211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a:outerShdw blurRad="50800" dist="38100" dir="2700000" algn="tl" rotWithShape="0">
                <a:schemeClr val="tx2">
                  <a:lumMod val="90000"/>
                  <a:lumOff val="10000"/>
                  <a:alpha val="40000"/>
                </a:schemeClr>
              </a:outerShdw>
            </a:effectLst>
          </c:spPr>
          <c:txPr>
            <a:bodyPr rot="0" spcFirstLastPara="1" vertOverflow="ellipsis" vert="horz" wrap="square" lIns="38100" tIns="19050" rIns="38100" bIns="19050" anchor="ctr" anchorCtr="1">
              <a:spAutoFit/>
            </a:bodyPr>
            <a:lstStyle/>
            <a:p>
              <a:pPr>
                <a:defRPr sz="1940" b="1" i="0" u="none" strike="noStrike" kern="1200" baseline="0">
                  <a:solidFill>
                    <a:schemeClr val="tx2">
                      <a:lumMod val="90000"/>
                      <a:lumOff val="10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layout>
            <c:manualLayout>
              <c:x val="-5.7701900456210882E-2"/>
              <c:y val="2.7991890433422463E-2"/>
            </c:manualLayout>
          </c:layout>
          <c:spPr>
            <a:noFill/>
            <a:ln>
              <a:noFill/>
            </a:ln>
            <a:effectLst>
              <a:outerShdw blurRad="50800" dist="38100" dir="2700000" algn="tl" rotWithShape="0">
                <a:schemeClr val="tx2">
                  <a:lumMod val="90000"/>
                  <a:lumOff val="10000"/>
                  <a:alpha val="40000"/>
                </a:schemeClr>
              </a:outerShdw>
            </a:effectLst>
          </c:spPr>
          <c:txPr>
            <a:bodyPr rot="0" spcFirstLastPara="1" vertOverflow="ellipsis" vert="horz" wrap="square" lIns="38100" tIns="19050" rIns="38100" bIns="19050" anchor="ctr" anchorCtr="1">
              <a:spAutoFit/>
            </a:bodyPr>
            <a:lstStyle/>
            <a:p>
              <a:pPr>
                <a:defRPr sz="1940" b="1" i="0" u="none" strike="noStrike" kern="1200" baseline="0">
                  <a:solidFill>
                    <a:schemeClr val="tx2">
                      <a:lumMod val="90000"/>
                      <a:lumOff val="10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layout>
            <c:manualLayout>
              <c:x val="4.572829328326985E-3"/>
              <c:y val="5.0768487382234717E-2"/>
            </c:manualLayout>
          </c:layout>
          <c:spPr>
            <a:noFill/>
            <a:ln>
              <a:noFill/>
            </a:ln>
            <a:effectLst>
              <a:outerShdw blurRad="50800" dist="38100" dir="2700000" algn="tl" rotWithShape="0">
                <a:schemeClr val="tx2">
                  <a:lumMod val="90000"/>
                  <a:lumOff val="10000"/>
                  <a:alpha val="40000"/>
                </a:schemeClr>
              </a:outerShdw>
            </a:effectLst>
          </c:spPr>
          <c:txPr>
            <a:bodyPr rot="0" spcFirstLastPara="1" vertOverflow="ellipsis" vert="horz" wrap="square" lIns="38100" tIns="19050" rIns="38100" bIns="19050" anchor="ctr" anchorCtr="1">
              <a:spAutoFit/>
            </a:bodyPr>
            <a:lstStyle/>
            <a:p>
              <a:pPr>
                <a:defRPr sz="1940" b="1" i="0" u="none" strike="noStrike" kern="1200" baseline="0">
                  <a:solidFill>
                    <a:schemeClr val="tx2">
                      <a:lumMod val="90000"/>
                      <a:lumOff val="10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layout>
            <c:manualLayout>
              <c:x val="8.9700068004333264E-2"/>
              <c:y val="3.9361512597329916E-2"/>
            </c:manualLayout>
          </c:layout>
          <c:spPr>
            <a:noFill/>
            <a:ln>
              <a:noFill/>
            </a:ln>
            <a:effectLst>
              <a:outerShdw blurRad="50800" dist="38100" dir="2700000" algn="tl" rotWithShape="0">
                <a:schemeClr val="tx2">
                  <a:lumMod val="90000"/>
                  <a:lumOff val="10000"/>
                  <a:alpha val="40000"/>
                </a:schemeClr>
              </a:outerShdw>
            </a:effectLst>
          </c:spPr>
          <c:txPr>
            <a:bodyPr rot="0" spcFirstLastPara="1" vertOverflow="ellipsis" vert="horz" wrap="square" lIns="38100" tIns="19050" rIns="38100" bIns="19050" anchor="ctr" anchorCtr="1">
              <a:spAutoFit/>
            </a:bodyPr>
            <a:lstStyle/>
            <a:p>
              <a:pPr>
                <a:defRPr sz="1940" b="1" i="0" u="none" strike="noStrike" kern="1200" baseline="0">
                  <a:solidFill>
                    <a:schemeClr val="tx2">
                      <a:lumMod val="90000"/>
                      <a:lumOff val="10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layout>
            <c:manualLayout>
              <c:x val="0.18549724177976917"/>
              <c:y val="3.2230156272321973E-2"/>
            </c:manualLayout>
          </c:layout>
          <c:spPr>
            <a:noFill/>
            <a:ln>
              <a:noFill/>
            </a:ln>
            <a:effectLst>
              <a:outerShdw blurRad="50800" dist="38100" dir="2700000" algn="tl" rotWithShape="0">
                <a:schemeClr val="tx2">
                  <a:lumMod val="90000"/>
                  <a:lumOff val="10000"/>
                  <a:alpha val="40000"/>
                </a:schemeClr>
              </a:outerShdw>
            </a:effectLst>
          </c:spPr>
          <c:txPr>
            <a:bodyPr rot="0" spcFirstLastPara="1" vertOverflow="ellipsis" vert="horz" wrap="square" lIns="38100" tIns="19050" rIns="38100" bIns="19050" anchor="ctr" anchorCtr="1">
              <a:spAutoFit/>
            </a:bodyPr>
            <a:lstStyle/>
            <a:p>
              <a:pPr>
                <a:defRPr sz="1940" b="1" i="0" u="none" strike="noStrike" kern="1200" baseline="0">
                  <a:solidFill>
                    <a:schemeClr val="tx2">
                      <a:lumMod val="90000"/>
                      <a:lumOff val="10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layout>
            <c:manualLayout>
              <c:x val="0.10348180747916713"/>
              <c:y val="-9.1314388870786016E-17"/>
            </c:manualLayout>
          </c:layout>
          <c:spPr>
            <a:noFill/>
            <a:ln>
              <a:noFill/>
            </a:ln>
            <a:effectLst>
              <a:outerShdw blurRad="50800" dist="38100" dir="2700000" algn="tl" rotWithShape="0">
                <a:schemeClr val="tx2">
                  <a:lumMod val="90000"/>
                  <a:lumOff val="10000"/>
                  <a:alpha val="40000"/>
                </a:schemeClr>
              </a:outerShdw>
            </a:effectLst>
          </c:spPr>
          <c:txPr>
            <a:bodyPr rot="0" spcFirstLastPara="1" vertOverflow="ellipsis" vert="horz" wrap="square" lIns="38100" tIns="19050" rIns="38100" bIns="19050" anchor="ctr" anchorCtr="1">
              <a:spAutoFit/>
            </a:bodyPr>
            <a:lstStyle/>
            <a:p>
              <a:pPr>
                <a:defRPr sz="1940" b="1" i="0" u="none" strike="noStrike" kern="1200" baseline="0">
                  <a:solidFill>
                    <a:schemeClr val="tx2">
                      <a:lumMod val="90000"/>
                      <a:lumOff val="10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layout>
            <c:manualLayout>
              <c:x val="9.2626734942864719E-2"/>
              <c:y val="2.3326575361185386E-3"/>
            </c:manualLayout>
          </c:layout>
          <c:spPr>
            <a:noFill/>
            <a:ln>
              <a:noFill/>
            </a:ln>
            <a:effectLst>
              <a:outerShdw blurRad="50800" dist="38100" dir="2700000" algn="tl" rotWithShape="0">
                <a:schemeClr val="tx2">
                  <a:lumMod val="90000"/>
                  <a:lumOff val="10000"/>
                  <a:alpha val="40000"/>
                </a:schemeClr>
              </a:outerShdw>
            </a:effectLst>
          </c:spPr>
          <c:txPr>
            <a:bodyPr rot="0" spcFirstLastPara="1" vertOverflow="ellipsis" vert="horz" wrap="square" lIns="38100" tIns="19050" rIns="38100" bIns="19050" anchor="ctr" anchorCtr="1">
              <a:spAutoFit/>
            </a:bodyPr>
            <a:lstStyle/>
            <a:p>
              <a:pPr>
                <a:defRPr sz="1940" b="1" i="0" u="none" strike="noStrike" kern="1200" baseline="0">
                  <a:solidFill>
                    <a:schemeClr val="tx2">
                      <a:lumMod val="90000"/>
                      <a:lumOff val="10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layout>
            <c:manualLayout>
              <c:x val="9.8700619201413348E-2"/>
              <c:y val="-8.6308328836385936E-2"/>
            </c:manualLayout>
          </c:layout>
          <c:spPr>
            <a:noFill/>
            <a:ln>
              <a:noFill/>
            </a:ln>
            <a:effectLst>
              <a:outerShdw blurRad="50800" dist="38100" dir="2700000" algn="tl" rotWithShape="0">
                <a:schemeClr val="tx2">
                  <a:lumMod val="90000"/>
                  <a:lumOff val="10000"/>
                  <a:alpha val="40000"/>
                </a:schemeClr>
              </a:outerShdw>
            </a:effectLst>
          </c:spPr>
          <c:txPr>
            <a:bodyPr rot="0" spcFirstLastPara="1" vertOverflow="ellipsis" vert="horz" wrap="square" lIns="38100" tIns="19050" rIns="38100" bIns="19050" anchor="ctr" anchorCtr="1">
              <a:spAutoFit/>
            </a:bodyPr>
            <a:lstStyle/>
            <a:p>
              <a:pPr>
                <a:defRPr sz="1940" b="1" i="0" u="none" strike="noStrike" kern="1200" baseline="0">
                  <a:solidFill>
                    <a:schemeClr val="tx2">
                      <a:lumMod val="90000"/>
                      <a:lumOff val="10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layout>
            <c:manualLayout>
              <c:x val="-0.18066900613095194"/>
              <c:y val="3.9388264240094423E-2"/>
            </c:manualLayout>
          </c:layout>
          <c:spPr>
            <a:noFill/>
            <a:ln>
              <a:noFill/>
            </a:ln>
            <a:effectLst>
              <a:outerShdw blurRad="50800" dist="38100" dir="2700000" algn="tl" rotWithShape="0">
                <a:schemeClr val="tx2">
                  <a:lumMod val="90000"/>
                  <a:lumOff val="10000"/>
                  <a:alpha val="40000"/>
                </a:schemeClr>
              </a:outerShdw>
            </a:effectLst>
          </c:spPr>
          <c:txPr>
            <a:bodyPr rot="0" spcFirstLastPara="1" vertOverflow="ellipsis" vert="horz" wrap="square" lIns="38100" tIns="19050" rIns="38100" bIns="19050" anchor="ctr" anchorCtr="1">
              <a:spAutoFit/>
            </a:bodyPr>
            <a:lstStyle/>
            <a:p>
              <a:pPr>
                <a:defRPr sz="1940" b="1" i="0" u="none" strike="noStrike" kern="1200" baseline="0">
                  <a:solidFill>
                    <a:schemeClr val="tx2">
                      <a:lumMod val="90000"/>
                      <a:lumOff val="10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layout>
            <c:manualLayout>
              <c:x val="-0.22169676416026754"/>
              <c:y val="-7.234614736743851E-2"/>
            </c:manualLayout>
          </c:layout>
          <c:spPr>
            <a:noFill/>
            <a:ln>
              <a:noFill/>
            </a:ln>
            <a:effectLst>
              <a:outerShdw blurRad="50800" dist="38100" dir="2700000" algn="tl" rotWithShape="0">
                <a:schemeClr val="tx2">
                  <a:lumMod val="90000"/>
                  <a:lumOff val="10000"/>
                  <a:alpha val="40000"/>
                </a:schemeClr>
              </a:outerShdw>
            </a:effectLst>
          </c:spPr>
          <c:txPr>
            <a:bodyPr rot="0" spcFirstLastPara="1" vertOverflow="ellipsis" vert="horz" wrap="square" lIns="38100" tIns="19050" rIns="38100" bIns="19050" anchor="ctr" anchorCtr="1">
              <a:spAutoFit/>
            </a:bodyPr>
            <a:lstStyle/>
            <a:p>
              <a:pPr>
                <a:defRPr sz="1940" b="1" i="0" u="none" strike="noStrike" kern="1200" baseline="0">
                  <a:solidFill>
                    <a:schemeClr val="tx2">
                      <a:lumMod val="90000"/>
                      <a:lumOff val="10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layout>
            <c:manualLayout>
              <c:x val="-2.4312929392874719E-2"/>
              <c:y val="-3.5149986614889855E-2"/>
            </c:manualLayout>
          </c:layout>
          <c:spPr>
            <a:noFill/>
            <a:ln>
              <a:noFill/>
            </a:ln>
            <a:effectLst>
              <a:outerShdw blurRad="50800" dist="38100" dir="2700000" algn="tl" rotWithShape="0">
                <a:schemeClr val="tx2">
                  <a:lumMod val="90000"/>
                  <a:lumOff val="10000"/>
                  <a:alpha val="40000"/>
                </a:schemeClr>
              </a:outerShdw>
            </a:effectLst>
          </c:spPr>
          <c:txPr>
            <a:bodyPr rot="0" spcFirstLastPara="1" vertOverflow="ellipsis" vert="horz" wrap="square" lIns="38100" tIns="19050" rIns="38100" bIns="19050" anchor="ctr" anchorCtr="1">
              <a:spAutoFit/>
            </a:bodyPr>
            <a:lstStyle/>
            <a:p>
              <a:pPr>
                <a:defRPr sz="1940" b="1" i="0" u="none" strike="noStrike" kern="1200" baseline="0">
                  <a:solidFill>
                    <a:schemeClr val="tx2">
                      <a:lumMod val="90000"/>
                      <a:lumOff val="10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layout>
            <c:manualLayout>
              <c:x val="-7.136230226713923E-2"/>
              <c:y val="-7.9150308377704218E-2"/>
            </c:manualLayout>
          </c:layout>
          <c:spPr>
            <a:noFill/>
            <a:ln>
              <a:noFill/>
            </a:ln>
            <a:effectLst>
              <a:outerShdw blurRad="50800" dist="38100" dir="2700000" algn="tl" rotWithShape="0">
                <a:schemeClr val="tx2">
                  <a:lumMod val="90000"/>
                  <a:lumOff val="10000"/>
                  <a:alpha val="40000"/>
                </a:schemeClr>
              </a:outerShdw>
            </a:effectLst>
          </c:spPr>
          <c:txPr>
            <a:bodyPr rot="0" spcFirstLastPara="1" vertOverflow="ellipsis" vert="horz" wrap="square" lIns="38100" tIns="19050" rIns="38100" bIns="19050" anchor="ctr" anchorCtr="1">
              <a:spAutoFit/>
            </a:bodyPr>
            <a:lstStyle/>
            <a:p>
              <a:pPr>
                <a:defRPr sz="1940" b="1" i="0" u="none" strike="noStrike" kern="1200" baseline="0">
                  <a:solidFill>
                    <a:schemeClr val="tx2">
                      <a:lumMod val="90000"/>
                      <a:lumOff val="10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layout>
            <c:manualLayout>
              <c:x val="-4.5554131939113856E-3"/>
              <c:y val="-1.3995945216711232E-2"/>
            </c:manualLayout>
          </c:layout>
          <c:spPr>
            <a:noFill/>
            <a:ln>
              <a:noFill/>
            </a:ln>
            <a:effectLst>
              <a:outerShdw blurRad="50800" dist="38100" dir="2700000" algn="tl" rotWithShape="0">
                <a:schemeClr val="tx2">
                  <a:lumMod val="90000"/>
                  <a:lumOff val="10000"/>
                  <a:alpha val="40000"/>
                </a:schemeClr>
              </a:outerShdw>
            </a:effectLst>
          </c:spPr>
          <c:txPr>
            <a:bodyPr rot="0" spcFirstLastPara="1" vertOverflow="ellipsis" vert="horz" wrap="square" lIns="38100" tIns="19050" rIns="38100" bIns="19050" anchor="ctr" anchorCtr="1">
              <a:spAutoFit/>
            </a:bodyPr>
            <a:lstStyle/>
            <a:p>
              <a:pPr>
                <a:defRPr sz="1940" b="1" i="0" u="none" strike="noStrike" kern="1200" baseline="0">
                  <a:solidFill>
                    <a:schemeClr val="tx2">
                      <a:lumMod val="90000"/>
                      <a:lumOff val="10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s>
    <c:plotArea>
      <c:layout/>
      <c:radarChart>
        <c:radarStyle val="marker"/>
        <c:varyColors val="0"/>
        <c:ser>
          <c:idx val="0"/>
          <c:order val="0"/>
          <c:tx>
            <c:strRef>
              <c:f>pv!$B$18</c:f>
              <c:strCache>
                <c:ptCount val="1"/>
                <c:pt idx="0">
                  <c:v>Total</c:v>
                </c:pt>
              </c:strCache>
            </c:strRef>
          </c:tx>
          <c:spPr>
            <a:ln w="28575" cap="rnd">
              <a:solidFill>
                <a:schemeClr val="accent1"/>
              </a:solidFill>
              <a:round/>
            </a:ln>
            <a:effectLst/>
          </c:spPr>
          <c:marker>
            <c:symbol val="none"/>
          </c:marker>
          <c:dLbls>
            <c:dLbl>
              <c:idx val="0"/>
              <c:layout>
                <c:manualLayout>
                  <c:x val="-4.5554131939113856E-3"/>
                  <c:y val="-1.3995945216711232E-2"/>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C-03BD-4888-BB94-B31CABC90290}"/>
                </c:ext>
              </c:extLst>
            </c:dLbl>
            <c:dLbl>
              <c:idx val="1"/>
              <c:layout>
                <c:manualLayout>
                  <c:x val="9.8700619201413348E-2"/>
                  <c:y val="-8.6308328836385936E-2"/>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7-03BD-4888-BB94-B31CABC90290}"/>
                </c:ext>
              </c:extLst>
            </c:dLbl>
            <c:dLbl>
              <c:idx val="2"/>
              <c:layout>
                <c:manualLayout>
                  <c:x val="9.2626734942864719E-2"/>
                  <c:y val="2.3326575361185386E-3"/>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6-03BD-4888-BB94-B31CABC90290}"/>
                </c:ext>
              </c:extLst>
            </c:dLbl>
            <c:dLbl>
              <c:idx val="3"/>
              <c:layout>
                <c:manualLayout>
                  <c:x val="0.10348180747916713"/>
                  <c:y val="-9.1314388870786016E-17"/>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5-03BD-4888-BB94-B31CABC90290}"/>
                </c:ext>
              </c:extLst>
            </c:dLbl>
            <c:dLbl>
              <c:idx val="4"/>
              <c:layout>
                <c:manualLayout>
                  <c:x val="0.18549724177976917"/>
                  <c:y val="3.2230156272321973E-2"/>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4-03BD-4888-BB94-B31CABC90290}"/>
                </c:ext>
              </c:extLst>
            </c:dLbl>
            <c:dLbl>
              <c:idx val="5"/>
              <c:layout>
                <c:manualLayout>
                  <c:x val="8.9700068004333264E-2"/>
                  <c:y val="3.9361512597329916E-2"/>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03BD-4888-BB94-B31CABC90290}"/>
                </c:ext>
              </c:extLst>
            </c:dLbl>
            <c:dLbl>
              <c:idx val="6"/>
              <c:layout>
                <c:manualLayout>
                  <c:x val="4.572829328326985E-3"/>
                  <c:y val="5.0768487382234717E-2"/>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03BD-4888-BB94-B31CABC90290}"/>
                </c:ext>
              </c:extLst>
            </c:dLbl>
            <c:dLbl>
              <c:idx val="7"/>
              <c:layout>
                <c:manualLayout>
                  <c:x val="-5.7701900456210882E-2"/>
                  <c:y val="2.7991890433422463E-2"/>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03BD-4888-BB94-B31CABC90290}"/>
                </c:ext>
              </c:extLst>
            </c:dLbl>
            <c:dLbl>
              <c:idx val="8"/>
              <c:layout>
                <c:manualLayout>
                  <c:x val="-0.18066900613095194"/>
                  <c:y val="3.9388264240094423E-2"/>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8-03BD-4888-BB94-B31CABC90290}"/>
                </c:ext>
              </c:extLst>
            </c:dLbl>
            <c:dLbl>
              <c:idx val="9"/>
              <c:layout>
                <c:manualLayout>
                  <c:x val="-0.22169676416026754"/>
                  <c:y val="-7.234614736743851E-2"/>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9-03BD-4888-BB94-B31CABC90290}"/>
                </c:ext>
              </c:extLst>
            </c:dLbl>
            <c:dLbl>
              <c:idx val="10"/>
              <c:layout>
                <c:manualLayout>
                  <c:x val="-2.4312929392874719E-2"/>
                  <c:y val="-3.5149986614889855E-2"/>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A-03BD-4888-BB94-B31CABC90290}"/>
                </c:ext>
              </c:extLst>
            </c:dLbl>
            <c:dLbl>
              <c:idx val="11"/>
              <c:layout>
                <c:manualLayout>
                  <c:x val="-7.136230226713923E-2"/>
                  <c:y val="-7.9150308377704218E-2"/>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B-03BD-4888-BB94-B31CABC90290}"/>
                </c:ext>
              </c:extLst>
            </c:dLbl>
            <c:spPr>
              <a:noFill/>
              <a:ln>
                <a:noFill/>
              </a:ln>
              <a:effectLst>
                <a:outerShdw blurRad="50800" dist="38100" dir="2700000" algn="tl" rotWithShape="0">
                  <a:schemeClr val="tx2">
                    <a:lumMod val="90000"/>
                    <a:lumOff val="10000"/>
                    <a:alpha val="40000"/>
                  </a:schemeClr>
                </a:outerShdw>
              </a:effectLst>
            </c:spPr>
            <c:txPr>
              <a:bodyPr rot="0" spcFirstLastPara="1" vertOverflow="ellipsis" vert="horz" wrap="square" lIns="38100" tIns="19050" rIns="38100" bIns="19050" anchor="ctr" anchorCtr="1">
                <a:spAutoFit/>
              </a:bodyPr>
              <a:lstStyle/>
              <a:p>
                <a:pPr>
                  <a:defRPr sz="1940" b="1" i="0" u="none" strike="noStrike" kern="1200" baseline="0">
                    <a:solidFill>
                      <a:schemeClr val="tx2">
                        <a:lumMod val="90000"/>
                        <a:lumOff val="10000"/>
                      </a:schemeClr>
                    </a:solidFill>
                    <a:latin typeface="+mn-lt"/>
                    <a:ea typeface="+mn-ea"/>
                    <a:cs typeface="+mn-cs"/>
                  </a:defRPr>
                </a:pPr>
                <a:endParaRPr lang="en-US"/>
              </a:p>
            </c:txPr>
            <c:showLegendKey val="0"/>
            <c:showVal val="1"/>
            <c:showCatName val="1"/>
            <c:showSerName val="0"/>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pv!$A$19:$A$31</c:f>
              <c:strCache>
                <c:ptCount val="12"/>
                <c:pt idx="0">
                  <c:v>Abu Dhabi</c:v>
                </c:pt>
                <c:pt idx="1">
                  <c:v>Birmingham</c:v>
                </c:pt>
                <c:pt idx="2">
                  <c:v>Chicago</c:v>
                </c:pt>
                <c:pt idx="3">
                  <c:v>London</c:v>
                </c:pt>
                <c:pt idx="4">
                  <c:v>Los Angeles</c:v>
                </c:pt>
                <c:pt idx="5">
                  <c:v>Melbourne</c:v>
                </c:pt>
                <c:pt idx="6">
                  <c:v>Milan</c:v>
                </c:pt>
                <c:pt idx="7">
                  <c:v>Mumbai</c:v>
                </c:pt>
                <c:pt idx="8">
                  <c:v>New York</c:v>
                </c:pt>
                <c:pt idx="9">
                  <c:v>Rome</c:v>
                </c:pt>
                <c:pt idx="10">
                  <c:v>Sydney</c:v>
                </c:pt>
                <c:pt idx="11">
                  <c:v>Bangalore</c:v>
                </c:pt>
              </c:strCache>
            </c:strRef>
          </c:cat>
          <c:val>
            <c:numRef>
              <c:f>pv!$B$19:$B$31</c:f>
              <c:numCache>
                <c:formatCode>General</c:formatCode>
                <c:ptCount val="12"/>
                <c:pt idx="0">
                  <c:v>1902</c:v>
                </c:pt>
                <c:pt idx="1">
                  <c:v>1132</c:v>
                </c:pt>
                <c:pt idx="2">
                  <c:v>1504</c:v>
                </c:pt>
                <c:pt idx="3">
                  <c:v>566</c:v>
                </c:pt>
                <c:pt idx="4">
                  <c:v>752</c:v>
                </c:pt>
                <c:pt idx="5">
                  <c:v>1270</c:v>
                </c:pt>
                <c:pt idx="6">
                  <c:v>1352</c:v>
                </c:pt>
                <c:pt idx="7">
                  <c:v>1683</c:v>
                </c:pt>
                <c:pt idx="8">
                  <c:v>752</c:v>
                </c:pt>
                <c:pt idx="9">
                  <c:v>191</c:v>
                </c:pt>
                <c:pt idx="10">
                  <c:v>2472</c:v>
                </c:pt>
                <c:pt idx="11">
                  <c:v>1112</c:v>
                </c:pt>
              </c:numCache>
            </c:numRef>
          </c:val>
          <c:extLst>
            <c:ext xmlns:c16="http://schemas.microsoft.com/office/drawing/2014/chart" uri="{C3380CC4-5D6E-409C-BE32-E72D297353CC}">
              <c16:uniqueId val="{00000000-03BD-4888-BB94-B31CABC90290}"/>
            </c:ext>
          </c:extLst>
        </c:ser>
        <c:dLbls>
          <c:showLegendKey val="0"/>
          <c:showVal val="1"/>
          <c:showCatName val="0"/>
          <c:showSerName val="0"/>
          <c:showPercent val="0"/>
          <c:showBubbleSize val="0"/>
        </c:dLbls>
        <c:axId val="967719759"/>
        <c:axId val="967721199"/>
      </c:radarChart>
      <c:catAx>
        <c:axId val="967719759"/>
        <c:scaling>
          <c:orientation val="minMax"/>
        </c:scaling>
        <c:delete val="1"/>
        <c:axPos val="b"/>
        <c:numFmt formatCode="General" sourceLinked="1"/>
        <c:majorTickMark val="none"/>
        <c:minorTickMark val="none"/>
        <c:tickLblPos val="nextTo"/>
        <c:crossAx val="967721199"/>
        <c:crosses val="autoZero"/>
        <c:auto val="1"/>
        <c:lblAlgn val="ctr"/>
        <c:lblOffset val="100"/>
        <c:noMultiLvlLbl val="0"/>
      </c:catAx>
      <c:valAx>
        <c:axId val="967721199"/>
        <c:scaling>
          <c:orientation val="minMax"/>
        </c:scaling>
        <c:delete val="1"/>
        <c:axPos val="l"/>
        <c:numFmt formatCode="General" sourceLinked="1"/>
        <c:majorTickMark val="none"/>
        <c:minorTickMark val="none"/>
        <c:tickLblPos val="nextTo"/>
        <c:crossAx val="9677197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schemeClr val="tx2">
          <a:lumMod val="50000"/>
          <a:lumOff val="50000"/>
          <a:alpha val="4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[Hotel dashboard.xlsx]pv!month</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400" b="1">
                <a:solidFill>
                  <a:schemeClr val="tx2">
                    <a:lumMod val="90000"/>
                    <a:lumOff val="10000"/>
                  </a:schemeClr>
                </a:solidFill>
              </a:rPr>
              <a:t>Profits</a:t>
            </a:r>
            <a:r>
              <a:rPr lang="en-US" sz="2400" b="1" baseline="0">
                <a:solidFill>
                  <a:schemeClr val="tx2">
                    <a:lumMod val="90000"/>
                    <a:lumOff val="10000"/>
                  </a:schemeClr>
                </a:solidFill>
              </a:rPr>
              <a:t> by Month</a:t>
            </a:r>
            <a:endParaRPr lang="en-US" sz="2400" b="1">
              <a:solidFill>
                <a:schemeClr val="tx2">
                  <a:lumMod val="90000"/>
                  <a:lumOff val="1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50800" cap="rnd">
            <a:solidFill>
              <a:schemeClr val="tx2">
                <a:lumMod val="90000"/>
                <a:lumOff val="10000"/>
              </a:schemeClr>
            </a:solidFill>
            <a:round/>
          </a:ln>
          <a:effectLst>
            <a:outerShdw blurRad="50800" dist="50800" dir="5400000" sx="1000" sy="1000" algn="ctr" rotWithShape="0">
              <a:srgbClr val="000000"/>
            </a:outerShdw>
          </a:effectLst>
        </c:spPr>
        <c:marker>
          <c:symbol val="circle"/>
          <c:size val="5"/>
          <c:spPr>
            <a:solidFill>
              <a:schemeClr val="accent1"/>
            </a:solidFill>
            <a:ln w="152400">
              <a:solidFill>
                <a:schemeClr val="accent1"/>
              </a:solidFill>
            </a:ln>
            <a:effectLst>
              <a:outerShdw blurRad="50800" dist="50800" dir="5400000" sx="1000" sy="1000" algn="ctr" rotWithShape="0">
                <a:srgbClr val="000000"/>
              </a:outerShdw>
            </a:effectLst>
          </c:spPr>
        </c:marker>
        <c:dLbl>
          <c:idx val="0"/>
          <c:spPr>
            <a:noFill/>
            <a:ln>
              <a:noFill/>
            </a:ln>
            <a:effectLst>
              <a:outerShdw blurRad="50800" dist="38100" dir="2700000" sx="118000" sy="118000" algn="tl" rotWithShape="0">
                <a:schemeClr val="tx2">
                  <a:lumMod val="90000"/>
                  <a:lumOff val="10000"/>
                  <a:alpha val="40000"/>
                </a:schemeClr>
              </a:outerShdw>
            </a:effectLst>
          </c:spPr>
          <c:txPr>
            <a:bodyPr rot="0" spcFirstLastPara="1" vertOverflow="ellipsis" vert="horz" wrap="square" lIns="38100" tIns="19050" rIns="38100" bIns="19050" anchor="ctr" anchorCtr="1">
              <a:spAutoFit/>
            </a:bodyPr>
            <a:lstStyle/>
            <a:p>
              <a:pPr>
                <a:defRPr sz="1810" b="1" i="0" u="none" strike="noStrike" kern="1200" baseline="0">
                  <a:solidFill>
                    <a:schemeClr val="tx2">
                      <a:lumMod val="90000"/>
                      <a:lumOff val="10000"/>
                    </a:schemeClr>
                  </a:solidFill>
                  <a:latin typeface="+mn-lt"/>
                  <a:ea typeface="+mn-ea"/>
                  <a:cs typeface="+mn-cs"/>
                </a:defRPr>
              </a:pPr>
              <a:endParaRPr lang="en-US"/>
            </a:p>
          </c:txPr>
          <c:dLblPos val="t"/>
          <c:showLegendKey val="0"/>
          <c:showVal val="1"/>
          <c:showCatName val="0"/>
          <c:showSerName val="0"/>
          <c:showPercent val="0"/>
          <c:showBubbleSize val="0"/>
          <c:separator> </c:separator>
          <c:extLst>
            <c:ext xmlns:c15="http://schemas.microsoft.com/office/drawing/2012/chart" uri="{CE6537A1-D6FC-4f65-9D91-7224C49458BB}"/>
          </c:extLst>
        </c:dLbl>
      </c:pivotFmt>
      <c:pivotFmt>
        <c:idx val="3"/>
        <c:spPr>
          <a:ln w="50800" cap="rnd">
            <a:solidFill>
              <a:schemeClr val="tx2">
                <a:lumMod val="90000"/>
                <a:lumOff val="10000"/>
              </a:schemeClr>
            </a:solidFill>
            <a:round/>
          </a:ln>
          <a:effectLst>
            <a:outerShdw blurRad="50800" dist="50800" dir="5400000" sx="1000" sy="1000" algn="ctr" rotWithShape="0">
              <a:srgbClr val="000000"/>
            </a:outerShdw>
          </a:effectLst>
        </c:spPr>
        <c:marker>
          <c:symbol val="circle"/>
          <c:size val="5"/>
          <c:spPr>
            <a:solidFill>
              <a:schemeClr val="accent1"/>
            </a:solidFill>
            <a:ln w="152400">
              <a:solidFill>
                <a:schemeClr val="accent1"/>
              </a:solidFill>
            </a:ln>
            <a:effectLst>
              <a:outerShdw blurRad="50800" dist="50800" dir="5400000" sx="1000" sy="1000" algn="ctr" rotWithShape="0">
                <a:srgbClr val="000000"/>
              </a:outerShdw>
            </a:effectLst>
          </c:spPr>
        </c:marker>
        <c:dLbl>
          <c:idx val="0"/>
          <c:layout>
            <c:manualLayout>
              <c:x val="-5.804497249665988E-2"/>
              <c:y val="-0.12751599264906113"/>
            </c:manualLayout>
          </c:layout>
          <c:spPr>
            <a:noFill/>
            <a:ln>
              <a:noFill/>
            </a:ln>
            <a:effectLst>
              <a:outerShdw blurRad="50800" dist="38100" dir="2700000" sx="118000" sy="118000" algn="tl" rotWithShape="0">
                <a:schemeClr val="tx2">
                  <a:lumMod val="90000"/>
                  <a:lumOff val="10000"/>
                  <a:alpha val="40000"/>
                </a:schemeClr>
              </a:outerShdw>
            </a:effectLst>
          </c:spPr>
          <c:txPr>
            <a:bodyPr rot="0" spcFirstLastPara="1" vertOverflow="ellipsis" vert="horz" wrap="square" lIns="38100" tIns="19050" rIns="38100" bIns="19050" anchor="ctr" anchorCtr="1">
              <a:spAutoFit/>
            </a:bodyPr>
            <a:lstStyle/>
            <a:p>
              <a:pPr>
                <a:defRPr sz="1810" b="1" i="0" u="none" strike="noStrike" kern="1200" baseline="0">
                  <a:solidFill>
                    <a:schemeClr val="tx2">
                      <a:lumMod val="90000"/>
                      <a:lumOff val="10000"/>
                    </a:schemeClr>
                  </a:solidFill>
                  <a:latin typeface="+mn-lt"/>
                  <a:ea typeface="+mn-ea"/>
                  <a:cs typeface="+mn-cs"/>
                </a:defRPr>
              </a:pPr>
              <a:endParaRPr lang="en-US"/>
            </a:p>
          </c:txPr>
          <c:dLblPos val="r"/>
          <c:showLegendKey val="0"/>
          <c:showVal val="1"/>
          <c:showCatName val="0"/>
          <c:showSerName val="0"/>
          <c:showPercent val="0"/>
          <c:showBubbleSize val="0"/>
          <c:separator> </c:separator>
          <c:extLst>
            <c:ext xmlns:c15="http://schemas.microsoft.com/office/drawing/2012/chart" uri="{CE6537A1-D6FC-4f65-9D91-7224C49458BB}"/>
          </c:extLst>
        </c:dLbl>
      </c:pivotFmt>
      <c:pivotFmt>
        <c:idx val="4"/>
        <c:spPr>
          <a:ln w="50800" cap="rnd">
            <a:solidFill>
              <a:schemeClr val="tx2">
                <a:lumMod val="90000"/>
                <a:lumOff val="10000"/>
              </a:schemeClr>
            </a:solidFill>
            <a:round/>
          </a:ln>
          <a:effectLst>
            <a:outerShdw blurRad="50800" dist="50800" dir="5400000" sx="1000" sy="1000" algn="ctr" rotWithShape="0">
              <a:srgbClr val="000000"/>
            </a:outerShdw>
          </a:effectLst>
        </c:spPr>
        <c:marker>
          <c:symbol val="circle"/>
          <c:size val="5"/>
          <c:spPr>
            <a:solidFill>
              <a:schemeClr val="accent1"/>
            </a:solidFill>
            <a:ln w="152400">
              <a:solidFill>
                <a:schemeClr val="accent1"/>
              </a:solidFill>
            </a:ln>
            <a:effectLst>
              <a:outerShdw blurRad="50800" dist="50800" dir="5400000" sx="1000" sy="1000" algn="ctr" rotWithShape="0">
                <a:srgbClr val="000000"/>
              </a:outerShdw>
            </a:effectLst>
          </c:spPr>
        </c:marker>
        <c:dLbl>
          <c:idx val="0"/>
          <c:layout>
            <c:manualLayout>
              <c:x val="-3.3053715499116301E-2"/>
              <c:y val="-0.10281316571200944"/>
            </c:manualLayout>
          </c:layout>
          <c:spPr>
            <a:noFill/>
            <a:ln>
              <a:noFill/>
            </a:ln>
            <a:effectLst>
              <a:outerShdw blurRad="50800" dist="38100" dir="2700000" sx="118000" sy="118000" algn="tl" rotWithShape="0">
                <a:schemeClr val="tx2">
                  <a:lumMod val="90000"/>
                  <a:lumOff val="10000"/>
                  <a:alpha val="40000"/>
                </a:schemeClr>
              </a:outerShdw>
            </a:effectLst>
          </c:spPr>
          <c:txPr>
            <a:bodyPr rot="0" spcFirstLastPara="1" vertOverflow="ellipsis" vert="horz" wrap="square" lIns="38100" tIns="19050" rIns="38100" bIns="19050" anchor="ctr" anchorCtr="1">
              <a:spAutoFit/>
            </a:bodyPr>
            <a:lstStyle/>
            <a:p>
              <a:pPr>
                <a:defRPr sz="1810" b="1" i="0" u="none" strike="noStrike" kern="1200" baseline="0">
                  <a:solidFill>
                    <a:schemeClr val="tx2">
                      <a:lumMod val="90000"/>
                      <a:lumOff val="10000"/>
                    </a:schemeClr>
                  </a:solidFill>
                  <a:latin typeface="+mn-lt"/>
                  <a:ea typeface="+mn-ea"/>
                  <a:cs typeface="+mn-cs"/>
                </a:defRPr>
              </a:pPr>
              <a:endParaRPr lang="en-US"/>
            </a:p>
          </c:txPr>
          <c:dLblPos val="r"/>
          <c:showLegendKey val="0"/>
          <c:showVal val="1"/>
          <c:showCatName val="0"/>
          <c:showSerName val="0"/>
          <c:showPercent val="0"/>
          <c:showBubbleSize val="0"/>
          <c:separator> </c:separator>
          <c:extLst>
            <c:ext xmlns:c15="http://schemas.microsoft.com/office/drawing/2012/chart" uri="{CE6537A1-D6FC-4f65-9D91-7224C49458BB}"/>
          </c:extLst>
        </c:dLbl>
      </c:pivotFmt>
      <c:pivotFmt>
        <c:idx val="5"/>
        <c:spPr>
          <a:ln w="50800" cap="rnd">
            <a:solidFill>
              <a:schemeClr val="tx2">
                <a:lumMod val="90000"/>
                <a:lumOff val="10000"/>
              </a:schemeClr>
            </a:solidFill>
            <a:round/>
          </a:ln>
          <a:effectLst>
            <a:outerShdw blurRad="50800" dist="50800" dir="5400000" sx="1000" sy="1000" algn="ctr" rotWithShape="0">
              <a:srgbClr val="000000"/>
            </a:outerShdw>
          </a:effectLst>
        </c:spPr>
        <c:marker>
          <c:symbol val="circle"/>
          <c:size val="5"/>
          <c:spPr>
            <a:solidFill>
              <a:schemeClr val="accent1"/>
            </a:solidFill>
            <a:ln w="152400">
              <a:solidFill>
                <a:schemeClr val="accent1"/>
              </a:solidFill>
            </a:ln>
            <a:effectLst>
              <a:outerShdw blurRad="50800" dist="50800" dir="5400000" sx="1000" sy="1000" algn="ctr" rotWithShape="0">
                <a:srgbClr val="000000"/>
              </a:outerShdw>
            </a:effectLst>
          </c:spPr>
        </c:marker>
        <c:dLbl>
          <c:idx val="0"/>
          <c:layout>
            <c:manualLayout>
              <c:x val="-0.12258010586921921"/>
              <c:y val="2.0700968973249367E-2"/>
            </c:manualLayout>
          </c:layout>
          <c:spPr>
            <a:noFill/>
            <a:ln>
              <a:noFill/>
            </a:ln>
            <a:effectLst>
              <a:outerShdw blurRad="50800" dist="38100" dir="2700000" sx="118000" sy="118000" algn="tl" rotWithShape="0">
                <a:schemeClr val="tx2">
                  <a:lumMod val="90000"/>
                  <a:lumOff val="10000"/>
                  <a:alpha val="40000"/>
                </a:schemeClr>
              </a:outerShdw>
            </a:effectLst>
          </c:spPr>
          <c:txPr>
            <a:bodyPr rot="0" spcFirstLastPara="1" vertOverflow="ellipsis" vert="horz" wrap="square" lIns="38100" tIns="19050" rIns="38100" bIns="19050" anchor="ctr" anchorCtr="1">
              <a:spAutoFit/>
            </a:bodyPr>
            <a:lstStyle/>
            <a:p>
              <a:pPr>
                <a:defRPr sz="1810" b="1" i="0" u="none" strike="noStrike" kern="1200" baseline="0">
                  <a:solidFill>
                    <a:schemeClr val="tx2">
                      <a:lumMod val="90000"/>
                      <a:lumOff val="10000"/>
                    </a:schemeClr>
                  </a:solidFill>
                  <a:latin typeface="+mn-lt"/>
                  <a:ea typeface="+mn-ea"/>
                  <a:cs typeface="+mn-cs"/>
                </a:defRPr>
              </a:pPr>
              <a:endParaRPr lang="en-US"/>
            </a:p>
          </c:txPr>
          <c:dLblPos val="r"/>
          <c:showLegendKey val="0"/>
          <c:showVal val="1"/>
          <c:showCatName val="0"/>
          <c:showSerName val="0"/>
          <c:showPercent val="0"/>
          <c:showBubbleSize val="0"/>
          <c:separator> </c:separator>
          <c:extLst>
            <c:ext xmlns:c15="http://schemas.microsoft.com/office/drawing/2012/chart" uri="{CE6537A1-D6FC-4f65-9D91-7224C49458BB}"/>
          </c:extLst>
        </c:dLbl>
      </c:pivotFmt>
      <c:pivotFmt>
        <c:idx val="6"/>
        <c:spPr>
          <a:ln w="50800" cap="rnd">
            <a:solidFill>
              <a:schemeClr val="tx2">
                <a:lumMod val="90000"/>
                <a:lumOff val="10000"/>
              </a:schemeClr>
            </a:solidFill>
            <a:round/>
          </a:ln>
          <a:effectLst>
            <a:outerShdw blurRad="50800" dist="50800" dir="5400000" sx="1000" sy="1000" algn="ctr" rotWithShape="0">
              <a:srgbClr val="000000"/>
            </a:outerShdw>
          </a:effectLst>
        </c:spPr>
        <c:marker>
          <c:symbol val="circle"/>
          <c:size val="5"/>
          <c:spPr>
            <a:solidFill>
              <a:schemeClr val="accent1"/>
            </a:solidFill>
            <a:ln w="152400">
              <a:solidFill>
                <a:schemeClr val="accent1"/>
              </a:solidFill>
            </a:ln>
            <a:effectLst>
              <a:outerShdw blurRad="50800" dist="50800" dir="5400000" sx="1000" sy="1000" algn="ctr" rotWithShape="0">
                <a:srgbClr val="000000"/>
              </a:outerShdw>
            </a:effectLst>
          </c:spPr>
        </c:marker>
        <c:dLbl>
          <c:idx val="0"/>
          <c:layout>
            <c:manualLayout>
              <c:x val="8.6417260478734385E-3"/>
              <c:y val="5.0344361297711381E-2"/>
            </c:manualLayout>
          </c:layout>
          <c:spPr>
            <a:noFill/>
            <a:ln>
              <a:noFill/>
            </a:ln>
            <a:effectLst>
              <a:outerShdw blurRad="50800" dist="38100" dir="2700000" sx="118000" sy="118000" algn="tl" rotWithShape="0">
                <a:schemeClr val="tx2">
                  <a:lumMod val="90000"/>
                  <a:lumOff val="10000"/>
                  <a:alpha val="40000"/>
                </a:schemeClr>
              </a:outerShdw>
            </a:effectLst>
          </c:spPr>
          <c:txPr>
            <a:bodyPr rot="0" spcFirstLastPara="1" vertOverflow="ellipsis" vert="horz" wrap="square" lIns="38100" tIns="19050" rIns="38100" bIns="19050" anchor="ctr" anchorCtr="1">
              <a:spAutoFit/>
            </a:bodyPr>
            <a:lstStyle/>
            <a:p>
              <a:pPr>
                <a:defRPr sz="1810" b="1" i="0" u="none" strike="noStrike" kern="1200" baseline="0">
                  <a:solidFill>
                    <a:schemeClr val="tx2">
                      <a:lumMod val="90000"/>
                      <a:lumOff val="10000"/>
                    </a:schemeClr>
                  </a:solidFill>
                  <a:latin typeface="+mn-lt"/>
                  <a:ea typeface="+mn-ea"/>
                  <a:cs typeface="+mn-cs"/>
                </a:defRPr>
              </a:pPr>
              <a:endParaRPr lang="en-US"/>
            </a:p>
          </c:txPr>
          <c:dLblPos val="r"/>
          <c:showLegendKey val="0"/>
          <c:showVal val="1"/>
          <c:showCatName val="0"/>
          <c:showSerName val="0"/>
          <c:showPercent val="0"/>
          <c:showBubbleSize val="0"/>
          <c:separator> </c:separator>
          <c:extLst>
            <c:ext xmlns:c15="http://schemas.microsoft.com/office/drawing/2012/chart" uri="{CE6537A1-D6FC-4f65-9D91-7224C49458BB}"/>
          </c:extLst>
        </c:dLbl>
      </c:pivotFmt>
      <c:pivotFmt>
        <c:idx val="7"/>
        <c:spPr>
          <a:ln w="50800" cap="rnd">
            <a:solidFill>
              <a:schemeClr val="tx2">
                <a:lumMod val="90000"/>
                <a:lumOff val="10000"/>
              </a:schemeClr>
            </a:solidFill>
            <a:round/>
          </a:ln>
          <a:effectLst>
            <a:outerShdw blurRad="50800" dist="50800" dir="5400000" sx="1000" sy="1000" algn="ctr" rotWithShape="0">
              <a:srgbClr val="000000"/>
            </a:outerShdw>
          </a:effectLst>
        </c:spPr>
        <c:marker>
          <c:symbol val="circle"/>
          <c:size val="5"/>
          <c:spPr>
            <a:solidFill>
              <a:schemeClr val="accent1"/>
            </a:solidFill>
            <a:ln w="152400">
              <a:solidFill>
                <a:schemeClr val="accent1"/>
              </a:solidFill>
            </a:ln>
            <a:effectLst>
              <a:outerShdw blurRad="50800" dist="50800" dir="5400000" sx="1000" sy="1000" algn="ctr" rotWithShape="0">
                <a:srgbClr val="000000"/>
              </a:outerShdw>
            </a:effectLst>
          </c:spPr>
        </c:marker>
        <c:dLbl>
          <c:idx val="0"/>
          <c:layout>
            <c:manualLayout>
              <c:x val="-8.3568209893867346E-2"/>
              <c:y val="-0.12751599264906119"/>
            </c:manualLayout>
          </c:layout>
          <c:spPr>
            <a:noFill/>
            <a:ln>
              <a:noFill/>
            </a:ln>
            <a:effectLst>
              <a:outerShdw blurRad="50800" dist="38100" dir="2700000" sx="118000" sy="118000" algn="tl" rotWithShape="0">
                <a:schemeClr val="tx2">
                  <a:lumMod val="90000"/>
                  <a:lumOff val="10000"/>
                  <a:alpha val="40000"/>
                </a:schemeClr>
              </a:outerShdw>
            </a:effectLst>
          </c:spPr>
          <c:txPr>
            <a:bodyPr rot="0" spcFirstLastPara="1" vertOverflow="ellipsis" vert="horz" wrap="square" lIns="38100" tIns="19050" rIns="38100" bIns="19050" anchor="ctr" anchorCtr="1">
              <a:spAutoFit/>
            </a:bodyPr>
            <a:lstStyle/>
            <a:p>
              <a:pPr>
                <a:defRPr sz="1810" b="1" i="0" u="none" strike="noStrike" kern="1200" baseline="0">
                  <a:solidFill>
                    <a:schemeClr val="tx2">
                      <a:lumMod val="90000"/>
                      <a:lumOff val="10000"/>
                    </a:schemeClr>
                  </a:solidFill>
                  <a:latin typeface="+mn-lt"/>
                  <a:ea typeface="+mn-ea"/>
                  <a:cs typeface="+mn-cs"/>
                </a:defRPr>
              </a:pPr>
              <a:endParaRPr lang="en-US"/>
            </a:p>
          </c:txPr>
          <c:dLblPos val="r"/>
          <c:showLegendKey val="0"/>
          <c:showVal val="1"/>
          <c:showCatName val="0"/>
          <c:showSerName val="0"/>
          <c:showPercent val="0"/>
          <c:showBubbleSize val="0"/>
          <c:separator> </c:separator>
          <c:extLst>
            <c:ext xmlns:c15="http://schemas.microsoft.com/office/drawing/2012/chart" uri="{CE6537A1-D6FC-4f65-9D91-7224C49458BB}"/>
          </c:extLst>
        </c:dLbl>
      </c:pivotFmt>
      <c:pivotFmt>
        <c:idx val="8"/>
        <c:spPr>
          <a:ln w="50800" cap="rnd">
            <a:solidFill>
              <a:schemeClr val="tx2">
                <a:lumMod val="90000"/>
                <a:lumOff val="10000"/>
              </a:schemeClr>
            </a:solidFill>
            <a:round/>
          </a:ln>
          <a:effectLst>
            <a:outerShdw blurRad="50800" dist="50800" dir="5400000" sx="1000" sy="1000" algn="ctr" rotWithShape="0">
              <a:srgbClr val="000000"/>
            </a:outerShdw>
          </a:effectLst>
        </c:spPr>
        <c:marker>
          <c:symbol val="circle"/>
          <c:size val="5"/>
          <c:spPr>
            <a:solidFill>
              <a:schemeClr val="accent1"/>
            </a:solidFill>
            <a:ln w="152400">
              <a:solidFill>
                <a:schemeClr val="accent1"/>
              </a:solidFill>
            </a:ln>
            <a:effectLst>
              <a:outerShdw blurRad="50800" dist="50800" dir="5400000" sx="1000" sy="1000" algn="ctr" rotWithShape="0">
                <a:srgbClr val="000000"/>
              </a:outerShdw>
            </a:effectLst>
          </c:spPr>
        </c:marker>
        <c:dLbl>
          <c:idx val="0"/>
          <c:layout>
            <c:manualLayout>
              <c:x val="-8.1688545815054983E-2"/>
              <c:y val="-0.10034288301830421"/>
            </c:manualLayout>
          </c:layout>
          <c:spPr>
            <a:noFill/>
            <a:ln>
              <a:noFill/>
            </a:ln>
            <a:effectLst>
              <a:outerShdw blurRad="50800" dist="38100" dir="2700000" sx="118000" sy="118000" algn="tl" rotWithShape="0">
                <a:schemeClr val="tx2">
                  <a:lumMod val="90000"/>
                  <a:lumOff val="10000"/>
                  <a:alpha val="40000"/>
                </a:schemeClr>
              </a:outerShdw>
            </a:effectLst>
          </c:spPr>
          <c:txPr>
            <a:bodyPr rot="0" spcFirstLastPara="1" vertOverflow="ellipsis" vert="horz" wrap="square" lIns="38100" tIns="19050" rIns="38100" bIns="19050" anchor="ctr" anchorCtr="1">
              <a:spAutoFit/>
            </a:bodyPr>
            <a:lstStyle/>
            <a:p>
              <a:pPr>
                <a:defRPr sz="1810" b="1" i="0" u="none" strike="noStrike" kern="1200" baseline="0">
                  <a:solidFill>
                    <a:schemeClr val="tx2">
                      <a:lumMod val="90000"/>
                      <a:lumOff val="10000"/>
                    </a:schemeClr>
                  </a:solidFill>
                  <a:latin typeface="+mn-lt"/>
                  <a:ea typeface="+mn-ea"/>
                  <a:cs typeface="+mn-cs"/>
                </a:defRPr>
              </a:pPr>
              <a:endParaRPr lang="en-US"/>
            </a:p>
          </c:txPr>
          <c:dLblPos val="r"/>
          <c:showLegendKey val="0"/>
          <c:showVal val="1"/>
          <c:showCatName val="0"/>
          <c:showSerName val="0"/>
          <c:showPercent val="0"/>
          <c:showBubbleSize val="0"/>
          <c:separator> </c:separator>
          <c:extLst>
            <c:ext xmlns:c15="http://schemas.microsoft.com/office/drawing/2012/chart" uri="{CE6537A1-D6FC-4f65-9D91-7224C49458BB}"/>
          </c:extLst>
        </c:dLbl>
      </c:pivotFmt>
      <c:pivotFmt>
        <c:idx val="9"/>
        <c:spPr>
          <a:ln w="50800" cap="rnd">
            <a:solidFill>
              <a:schemeClr val="tx2">
                <a:lumMod val="90000"/>
                <a:lumOff val="10000"/>
              </a:schemeClr>
            </a:solidFill>
            <a:round/>
          </a:ln>
          <a:effectLst>
            <a:outerShdw blurRad="50800" dist="50800" dir="5400000" sx="1000" sy="1000" algn="ctr" rotWithShape="0">
              <a:srgbClr val="000000"/>
            </a:outerShdw>
          </a:effectLst>
        </c:spPr>
        <c:marker>
          <c:symbol val="circle"/>
          <c:size val="5"/>
          <c:spPr>
            <a:solidFill>
              <a:schemeClr val="accent1"/>
            </a:solidFill>
            <a:ln w="152400">
              <a:solidFill>
                <a:schemeClr val="accent1"/>
              </a:solidFill>
            </a:ln>
            <a:effectLst>
              <a:outerShdw blurRad="50800" dist="50800" dir="5400000" sx="1000" sy="1000" algn="ctr" rotWithShape="0">
                <a:srgbClr val="000000"/>
              </a:outerShdw>
            </a:effectLst>
          </c:spPr>
        </c:marker>
        <c:dLbl>
          <c:idx val="0"/>
          <c:layout>
            <c:manualLayout>
              <c:x val="-4.1494471173783333E-2"/>
              <c:y val="-0.10528344840571456"/>
            </c:manualLayout>
          </c:layout>
          <c:spPr>
            <a:noFill/>
            <a:ln>
              <a:noFill/>
            </a:ln>
            <a:effectLst>
              <a:outerShdw blurRad="50800" dist="38100" dir="2700000" sx="118000" sy="118000" algn="tl" rotWithShape="0">
                <a:schemeClr val="tx2">
                  <a:lumMod val="90000"/>
                  <a:lumOff val="10000"/>
                  <a:alpha val="40000"/>
                </a:schemeClr>
              </a:outerShdw>
            </a:effectLst>
          </c:spPr>
          <c:txPr>
            <a:bodyPr rot="0" spcFirstLastPara="1" vertOverflow="ellipsis" vert="horz" wrap="square" lIns="38100" tIns="19050" rIns="38100" bIns="19050" anchor="ctr" anchorCtr="1">
              <a:spAutoFit/>
            </a:bodyPr>
            <a:lstStyle/>
            <a:p>
              <a:pPr>
                <a:defRPr sz="1810" b="1" i="0" u="none" strike="noStrike" kern="1200" baseline="0">
                  <a:solidFill>
                    <a:schemeClr val="tx2">
                      <a:lumMod val="90000"/>
                      <a:lumOff val="10000"/>
                    </a:schemeClr>
                  </a:solidFill>
                  <a:latin typeface="+mn-lt"/>
                  <a:ea typeface="+mn-ea"/>
                  <a:cs typeface="+mn-cs"/>
                </a:defRPr>
              </a:pPr>
              <a:endParaRPr lang="en-US"/>
            </a:p>
          </c:txPr>
          <c:dLblPos val="r"/>
          <c:showLegendKey val="0"/>
          <c:showVal val="1"/>
          <c:showCatName val="0"/>
          <c:showSerName val="0"/>
          <c:showPercent val="0"/>
          <c:showBubbleSize val="0"/>
          <c:separator> </c:separator>
          <c:extLst>
            <c:ext xmlns:c15="http://schemas.microsoft.com/office/drawing/2012/chart" uri="{CE6537A1-D6FC-4f65-9D91-7224C49458BB}"/>
          </c:extLst>
        </c:dLbl>
      </c:pivotFmt>
      <c:pivotFmt>
        <c:idx val="10"/>
        <c:spPr>
          <a:ln w="50800" cap="rnd">
            <a:solidFill>
              <a:schemeClr val="tx2">
                <a:lumMod val="90000"/>
                <a:lumOff val="10000"/>
              </a:schemeClr>
            </a:solidFill>
            <a:round/>
          </a:ln>
          <a:effectLst>
            <a:outerShdw blurRad="50800" dist="50800" dir="5400000" sx="1000" sy="1000" algn="ctr" rotWithShape="0">
              <a:srgbClr val="000000"/>
            </a:outerShdw>
          </a:effectLst>
        </c:spPr>
        <c:marker>
          <c:symbol val="circle"/>
          <c:size val="5"/>
          <c:spPr>
            <a:solidFill>
              <a:schemeClr val="accent1"/>
            </a:solidFill>
            <a:ln w="152400">
              <a:solidFill>
                <a:schemeClr val="accent1"/>
              </a:solidFill>
            </a:ln>
            <a:effectLst>
              <a:outerShdw blurRad="50800" dist="50800" dir="5400000" sx="1000" sy="1000" algn="ctr" rotWithShape="0">
                <a:srgbClr val="000000"/>
              </a:outerShdw>
            </a:effectLst>
          </c:spPr>
        </c:marker>
        <c:dLbl>
          <c:idx val="0"/>
          <c:layout>
            <c:manualLayout>
              <c:x val="-5.283156457995377E-2"/>
              <c:y val="8.7398601703289003E-2"/>
            </c:manualLayout>
          </c:layout>
          <c:spPr>
            <a:noFill/>
            <a:ln>
              <a:noFill/>
            </a:ln>
            <a:effectLst>
              <a:outerShdw blurRad="50800" dist="38100" dir="2700000" sx="118000" sy="118000" algn="tl" rotWithShape="0">
                <a:schemeClr val="tx2">
                  <a:lumMod val="90000"/>
                  <a:lumOff val="10000"/>
                  <a:alpha val="40000"/>
                </a:schemeClr>
              </a:outerShdw>
            </a:effectLst>
          </c:spPr>
          <c:txPr>
            <a:bodyPr rot="0" spcFirstLastPara="1" vertOverflow="ellipsis" vert="horz" wrap="square" lIns="38100" tIns="19050" rIns="38100" bIns="19050" anchor="ctr" anchorCtr="1">
              <a:spAutoFit/>
            </a:bodyPr>
            <a:lstStyle/>
            <a:p>
              <a:pPr>
                <a:defRPr sz="1810" b="1" i="0" u="none" strike="noStrike" kern="1200" baseline="0">
                  <a:solidFill>
                    <a:schemeClr val="tx2">
                      <a:lumMod val="90000"/>
                      <a:lumOff val="10000"/>
                    </a:schemeClr>
                  </a:solidFill>
                  <a:latin typeface="+mn-lt"/>
                  <a:ea typeface="+mn-ea"/>
                  <a:cs typeface="+mn-cs"/>
                </a:defRPr>
              </a:pPr>
              <a:endParaRPr lang="en-US"/>
            </a:p>
          </c:txPr>
          <c:dLblPos val="r"/>
          <c:showLegendKey val="0"/>
          <c:showVal val="1"/>
          <c:showCatName val="0"/>
          <c:showSerName val="0"/>
          <c:showPercent val="0"/>
          <c:showBubbleSize val="0"/>
          <c:separator> </c:separator>
          <c:extLst>
            <c:ext xmlns:c15="http://schemas.microsoft.com/office/drawing/2012/chart" uri="{CE6537A1-D6FC-4f65-9D91-7224C49458BB}"/>
          </c:extLst>
        </c:dLbl>
      </c:pivotFmt>
      <c:pivotFmt>
        <c:idx val="11"/>
        <c:spPr>
          <a:ln w="50800" cap="rnd">
            <a:solidFill>
              <a:schemeClr val="tx2">
                <a:lumMod val="90000"/>
                <a:lumOff val="10000"/>
              </a:schemeClr>
            </a:solidFill>
            <a:round/>
          </a:ln>
          <a:effectLst>
            <a:outerShdw blurRad="50800" dist="50800" dir="5400000" sx="1000" sy="1000" algn="ctr" rotWithShape="0">
              <a:srgbClr val="000000"/>
            </a:outerShdw>
          </a:effectLst>
        </c:spPr>
        <c:marker>
          <c:symbol val="circle"/>
          <c:size val="5"/>
          <c:spPr>
            <a:solidFill>
              <a:schemeClr val="accent1"/>
            </a:solidFill>
            <a:ln w="152400">
              <a:solidFill>
                <a:schemeClr val="accent1"/>
              </a:solidFill>
            </a:ln>
            <a:effectLst>
              <a:outerShdw blurRad="50800" dist="50800" dir="5400000" sx="1000" sy="1000" algn="ctr" rotWithShape="0">
                <a:srgbClr val="000000"/>
              </a:outerShdw>
            </a:effectLst>
          </c:spPr>
        </c:marker>
        <c:dLbl>
          <c:idx val="0"/>
          <c:layout>
            <c:manualLayout>
              <c:x val="-6.7017708570990889E-2"/>
              <c:y val="-0.15715938497352325"/>
            </c:manualLayout>
          </c:layout>
          <c:spPr>
            <a:noFill/>
            <a:ln>
              <a:noFill/>
            </a:ln>
            <a:effectLst>
              <a:outerShdw blurRad="50800" dist="38100" dir="2700000" sx="118000" sy="118000" algn="tl" rotWithShape="0">
                <a:schemeClr val="tx2">
                  <a:lumMod val="90000"/>
                  <a:lumOff val="10000"/>
                  <a:alpha val="40000"/>
                </a:schemeClr>
              </a:outerShdw>
            </a:effectLst>
          </c:spPr>
          <c:txPr>
            <a:bodyPr rot="0" spcFirstLastPara="1" vertOverflow="ellipsis" vert="horz" wrap="square" lIns="38100" tIns="19050" rIns="38100" bIns="19050" anchor="ctr" anchorCtr="1">
              <a:spAutoFit/>
            </a:bodyPr>
            <a:lstStyle/>
            <a:p>
              <a:pPr>
                <a:defRPr sz="1810" b="1" i="0" u="none" strike="noStrike" kern="1200" baseline="0">
                  <a:solidFill>
                    <a:schemeClr val="tx2">
                      <a:lumMod val="90000"/>
                      <a:lumOff val="10000"/>
                    </a:schemeClr>
                  </a:solidFill>
                  <a:latin typeface="+mn-lt"/>
                  <a:ea typeface="+mn-ea"/>
                  <a:cs typeface="+mn-cs"/>
                </a:defRPr>
              </a:pPr>
              <a:endParaRPr lang="en-US"/>
            </a:p>
          </c:txPr>
          <c:dLblPos val="r"/>
          <c:showLegendKey val="0"/>
          <c:showVal val="1"/>
          <c:showCatName val="0"/>
          <c:showSerName val="0"/>
          <c:showPercent val="0"/>
          <c:showBubbleSize val="0"/>
          <c:separator> </c:separator>
          <c:extLst>
            <c:ext xmlns:c15="http://schemas.microsoft.com/office/drawing/2012/chart" uri="{CE6537A1-D6FC-4f65-9D91-7224C49458BB}"/>
          </c:extLst>
        </c:dLbl>
      </c:pivotFmt>
      <c:pivotFmt>
        <c:idx val="12"/>
        <c:spPr>
          <a:ln w="50800" cap="rnd">
            <a:solidFill>
              <a:schemeClr val="tx2">
                <a:lumMod val="90000"/>
                <a:lumOff val="10000"/>
              </a:schemeClr>
            </a:solidFill>
            <a:round/>
          </a:ln>
          <a:effectLst>
            <a:outerShdw blurRad="50800" dist="50800" dir="5400000" sx="1000" sy="1000" algn="ctr" rotWithShape="0">
              <a:srgbClr val="000000"/>
            </a:outerShdw>
          </a:effectLst>
        </c:spPr>
        <c:marker>
          <c:symbol val="circle"/>
          <c:size val="5"/>
          <c:spPr>
            <a:solidFill>
              <a:schemeClr val="accent1"/>
            </a:solidFill>
            <a:ln w="152400">
              <a:solidFill>
                <a:schemeClr val="accent1"/>
              </a:solidFill>
            </a:ln>
            <a:effectLst>
              <a:outerShdw blurRad="50800" dist="50800" dir="5400000" sx="1000" sy="1000" algn="ctr" rotWithShape="0">
                <a:srgbClr val="000000"/>
              </a:outerShdw>
            </a:effectLst>
          </c:spPr>
        </c:marker>
        <c:dLbl>
          <c:idx val="0"/>
          <c:layout>
            <c:manualLayout>
              <c:x val="-5.5444179431636421E-3"/>
              <c:y val="9.2339167090699448E-2"/>
            </c:manualLayout>
          </c:layout>
          <c:spPr>
            <a:noFill/>
            <a:ln>
              <a:noFill/>
            </a:ln>
            <a:effectLst>
              <a:outerShdw blurRad="50800" dist="38100" dir="2700000" sx="118000" sy="118000" algn="tl" rotWithShape="0">
                <a:schemeClr val="tx2">
                  <a:lumMod val="90000"/>
                  <a:lumOff val="10000"/>
                  <a:alpha val="40000"/>
                </a:schemeClr>
              </a:outerShdw>
            </a:effectLst>
          </c:spPr>
          <c:txPr>
            <a:bodyPr rot="0" spcFirstLastPara="1" vertOverflow="ellipsis" vert="horz" wrap="square" lIns="38100" tIns="19050" rIns="38100" bIns="19050" anchor="ctr" anchorCtr="1">
              <a:spAutoFit/>
            </a:bodyPr>
            <a:lstStyle/>
            <a:p>
              <a:pPr>
                <a:defRPr sz="1810" b="1" i="0" u="none" strike="noStrike" kern="1200" baseline="0">
                  <a:solidFill>
                    <a:schemeClr val="tx2">
                      <a:lumMod val="90000"/>
                      <a:lumOff val="10000"/>
                    </a:schemeClr>
                  </a:solidFill>
                  <a:latin typeface="+mn-lt"/>
                  <a:ea typeface="+mn-ea"/>
                  <a:cs typeface="+mn-cs"/>
                </a:defRPr>
              </a:pPr>
              <a:endParaRPr lang="en-US"/>
            </a:p>
          </c:txPr>
          <c:dLblPos val="r"/>
          <c:showLegendKey val="0"/>
          <c:showVal val="1"/>
          <c:showCatName val="0"/>
          <c:showSerName val="0"/>
          <c:showPercent val="0"/>
          <c:showBubbleSize val="0"/>
          <c:separator> </c:separator>
          <c:extLst>
            <c:ext xmlns:c15="http://schemas.microsoft.com/office/drawing/2012/chart" uri="{CE6537A1-D6FC-4f65-9D91-7224C49458BB}"/>
          </c:extLst>
        </c:dLbl>
      </c:pivotFmt>
      <c:pivotFmt>
        <c:idx val="13"/>
        <c:spPr>
          <a:ln w="50800" cap="rnd">
            <a:solidFill>
              <a:schemeClr val="tx2">
                <a:lumMod val="90000"/>
                <a:lumOff val="10000"/>
              </a:schemeClr>
            </a:solidFill>
            <a:round/>
          </a:ln>
          <a:effectLst>
            <a:outerShdw blurRad="50800" dist="50800" dir="5400000" sx="1000" sy="1000" algn="ctr" rotWithShape="0">
              <a:srgbClr val="000000"/>
            </a:outerShdw>
          </a:effectLst>
        </c:spPr>
        <c:marker>
          <c:symbol val="circle"/>
          <c:size val="5"/>
          <c:spPr>
            <a:solidFill>
              <a:schemeClr val="accent1"/>
            </a:solidFill>
            <a:ln w="152400">
              <a:solidFill>
                <a:schemeClr val="accent1"/>
              </a:solidFill>
            </a:ln>
            <a:effectLst>
              <a:outerShdw blurRad="50800" dist="50800" dir="5400000" sx="1000" sy="1000" algn="ctr" rotWithShape="0">
                <a:srgbClr val="000000"/>
              </a:outerShdw>
            </a:effectLst>
          </c:spPr>
        </c:marker>
        <c:dLbl>
          <c:idx val="0"/>
          <c:layout>
            <c:manualLayout>
              <c:x val="-3.2780604301808708E-2"/>
              <c:y val="-6.5758925306431765E-2"/>
            </c:manualLayout>
          </c:layout>
          <c:spPr>
            <a:noFill/>
            <a:ln>
              <a:noFill/>
            </a:ln>
            <a:effectLst>
              <a:outerShdw blurRad="50800" dist="38100" dir="2700000" sx="118000" sy="118000" algn="tl" rotWithShape="0">
                <a:schemeClr val="tx2">
                  <a:lumMod val="90000"/>
                  <a:lumOff val="10000"/>
                  <a:alpha val="40000"/>
                </a:schemeClr>
              </a:outerShdw>
            </a:effectLst>
          </c:spPr>
          <c:txPr>
            <a:bodyPr rot="0" spcFirstLastPara="1" vertOverflow="ellipsis" vert="horz" wrap="square" lIns="38100" tIns="19050" rIns="38100" bIns="19050" anchor="ctr" anchorCtr="1">
              <a:spAutoFit/>
            </a:bodyPr>
            <a:lstStyle/>
            <a:p>
              <a:pPr>
                <a:defRPr sz="1810" b="1" i="0" u="none" strike="noStrike" kern="1200" baseline="0">
                  <a:solidFill>
                    <a:schemeClr val="tx2">
                      <a:lumMod val="90000"/>
                      <a:lumOff val="10000"/>
                    </a:schemeClr>
                  </a:solidFill>
                  <a:latin typeface="+mn-lt"/>
                  <a:ea typeface="+mn-ea"/>
                  <a:cs typeface="+mn-cs"/>
                </a:defRPr>
              </a:pPr>
              <a:endParaRPr lang="en-US"/>
            </a:p>
          </c:txPr>
          <c:dLblPos val="r"/>
          <c:showLegendKey val="0"/>
          <c:showVal val="1"/>
          <c:showCatName val="0"/>
          <c:showSerName val="0"/>
          <c:showPercent val="0"/>
          <c:showBubbleSize val="0"/>
          <c:separator> </c:separator>
          <c:extLst>
            <c:ext xmlns:c15="http://schemas.microsoft.com/office/drawing/2012/chart" uri="{CE6537A1-D6FC-4f65-9D91-7224C49458BB}"/>
          </c:extLst>
        </c:dLbl>
      </c:pivotFmt>
      <c:pivotFmt>
        <c:idx val="14"/>
        <c:spPr>
          <a:ln w="50800" cap="rnd">
            <a:solidFill>
              <a:schemeClr val="tx2">
                <a:lumMod val="90000"/>
                <a:lumOff val="10000"/>
              </a:schemeClr>
            </a:solidFill>
            <a:round/>
          </a:ln>
          <a:effectLst>
            <a:outerShdw blurRad="50800" dist="50800" dir="5400000" sx="1000" sy="1000" algn="ctr" rotWithShape="0">
              <a:srgbClr val="000000"/>
            </a:outerShdw>
          </a:effectLst>
        </c:spPr>
        <c:marker>
          <c:symbol val="circle"/>
          <c:size val="5"/>
          <c:spPr>
            <a:solidFill>
              <a:schemeClr val="accent1"/>
            </a:solidFill>
            <a:ln w="152400">
              <a:solidFill>
                <a:schemeClr val="accent1"/>
              </a:solidFill>
            </a:ln>
            <a:effectLst>
              <a:outerShdw blurRad="50800" dist="50800" dir="5400000" sx="1000" sy="1000" algn="ctr" rotWithShape="0">
                <a:srgbClr val="000000"/>
              </a:outerShdw>
            </a:effectLst>
          </c:spPr>
        </c:marker>
        <c:dLbl>
          <c:idx val="0"/>
          <c:layout>
            <c:manualLayout>
              <c:x val="-5.283156457995377E-2"/>
              <c:y val="-0.37454426201957863"/>
            </c:manualLayout>
          </c:layout>
          <c:spPr>
            <a:noFill/>
            <a:ln>
              <a:noFill/>
            </a:ln>
            <a:effectLst>
              <a:outerShdw blurRad="50800" dist="38100" dir="2700000" sx="118000" sy="118000" algn="tl" rotWithShape="0">
                <a:schemeClr val="tx2">
                  <a:lumMod val="90000"/>
                  <a:lumOff val="10000"/>
                  <a:alpha val="40000"/>
                </a:schemeClr>
              </a:outerShdw>
            </a:effectLst>
          </c:spPr>
          <c:txPr>
            <a:bodyPr rot="0" spcFirstLastPara="1" vertOverflow="ellipsis" vert="horz" wrap="square" lIns="38100" tIns="19050" rIns="38100" bIns="19050" anchor="ctr" anchorCtr="1">
              <a:spAutoFit/>
            </a:bodyPr>
            <a:lstStyle/>
            <a:p>
              <a:pPr>
                <a:defRPr sz="1810" b="1" i="0" u="none" strike="noStrike" kern="1200" baseline="0">
                  <a:solidFill>
                    <a:schemeClr val="tx2">
                      <a:lumMod val="90000"/>
                      <a:lumOff val="10000"/>
                    </a:schemeClr>
                  </a:solidFill>
                  <a:latin typeface="+mn-lt"/>
                  <a:ea typeface="+mn-ea"/>
                  <a:cs typeface="+mn-cs"/>
                </a:defRPr>
              </a:pPr>
              <a:endParaRPr lang="en-US"/>
            </a:p>
          </c:txPr>
          <c:dLblPos val="r"/>
          <c:showLegendKey val="0"/>
          <c:showVal val="1"/>
          <c:showCatName val="0"/>
          <c:showSerName val="0"/>
          <c:showPercent val="0"/>
          <c:showBubbleSize val="0"/>
          <c:separator> </c:separator>
          <c:extLst>
            <c:ext xmlns:c15="http://schemas.microsoft.com/office/drawing/2012/chart" uri="{CE6537A1-D6FC-4f65-9D91-7224C49458BB}"/>
          </c:extLst>
        </c:dLbl>
      </c:pivotFmt>
    </c:pivotFmts>
    <c:plotArea>
      <c:layout/>
      <c:lineChart>
        <c:grouping val="standard"/>
        <c:varyColors val="0"/>
        <c:ser>
          <c:idx val="0"/>
          <c:order val="0"/>
          <c:tx>
            <c:strRef>
              <c:f>pv!$U$23</c:f>
              <c:strCache>
                <c:ptCount val="1"/>
                <c:pt idx="0">
                  <c:v>Total</c:v>
                </c:pt>
              </c:strCache>
            </c:strRef>
          </c:tx>
          <c:spPr>
            <a:ln w="50800" cap="rnd">
              <a:solidFill>
                <a:schemeClr val="tx2">
                  <a:lumMod val="90000"/>
                  <a:lumOff val="10000"/>
                </a:schemeClr>
              </a:solidFill>
              <a:round/>
            </a:ln>
            <a:effectLst>
              <a:outerShdw blurRad="50800" dist="50800" dir="5400000" sx="1000" sy="1000" algn="ctr" rotWithShape="0">
                <a:srgbClr val="000000"/>
              </a:outerShdw>
            </a:effectLst>
          </c:spPr>
          <c:marker>
            <c:symbol val="circle"/>
            <c:size val="5"/>
            <c:spPr>
              <a:solidFill>
                <a:schemeClr val="accent1"/>
              </a:solidFill>
              <a:ln w="152400">
                <a:solidFill>
                  <a:schemeClr val="accent1"/>
                </a:solidFill>
              </a:ln>
              <a:effectLst>
                <a:outerShdw blurRad="50800" dist="50800" dir="5400000" sx="1000" sy="1000" algn="ctr" rotWithShape="0">
                  <a:srgbClr val="000000"/>
                </a:outerShdw>
              </a:effectLst>
            </c:spPr>
          </c:marker>
          <c:dPt>
            <c:idx val="4"/>
            <c:marker>
              <c:symbol val="circle"/>
              <c:size val="5"/>
              <c:spPr>
                <a:solidFill>
                  <a:sysClr val="window" lastClr="FFFFFF"/>
                </a:solidFill>
                <a:ln w="152400">
                  <a:solidFill>
                    <a:schemeClr val="accent1"/>
                  </a:solidFill>
                </a:ln>
                <a:effectLst>
                  <a:outerShdw blurRad="50800" dist="50800" dir="5400000" sx="1000" sy="1000" algn="ctr" rotWithShape="0">
                    <a:srgbClr val="000000"/>
                  </a:outerShdw>
                </a:effectLst>
              </c:spPr>
            </c:marker>
            <c:bubble3D val="0"/>
            <c:extLst>
              <c:ext xmlns:c16="http://schemas.microsoft.com/office/drawing/2014/chart" uri="{C3380CC4-5D6E-409C-BE32-E72D297353CC}">
                <c16:uniqueId val="{00000005-92EF-4955-9A90-48AE416E2A91}"/>
              </c:ext>
            </c:extLst>
          </c:dPt>
          <c:dLbls>
            <c:dLbl>
              <c:idx val="0"/>
              <c:layout>
                <c:manualLayout>
                  <c:x val="-5.804497249665988E-2"/>
                  <c:y val="-0.12751599264906113"/>
                </c:manualLayout>
              </c:layout>
              <c:dLblPos val="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92EF-4955-9A90-48AE416E2A91}"/>
                </c:ext>
              </c:extLst>
            </c:dLbl>
            <c:dLbl>
              <c:idx val="1"/>
              <c:layout>
                <c:manualLayout>
                  <c:x val="-3.3053715499116301E-2"/>
                  <c:y val="-0.10281316571200944"/>
                </c:manualLayout>
              </c:layout>
              <c:dLblPos val="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92EF-4955-9A90-48AE416E2A91}"/>
                </c:ext>
              </c:extLst>
            </c:dLbl>
            <c:dLbl>
              <c:idx val="2"/>
              <c:layout>
                <c:manualLayout>
                  <c:x val="-0.12258010586921921"/>
                  <c:y val="2.0700968973249367E-2"/>
                </c:manualLayout>
              </c:layout>
              <c:dLblPos val="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92EF-4955-9A90-48AE416E2A91}"/>
                </c:ext>
              </c:extLst>
            </c:dLbl>
            <c:dLbl>
              <c:idx val="3"/>
              <c:layout>
                <c:manualLayout>
                  <c:x val="8.6417260478734385E-3"/>
                  <c:y val="5.0344361297711381E-2"/>
                </c:manualLayout>
              </c:layout>
              <c:dLblPos val="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4-92EF-4955-9A90-48AE416E2A91}"/>
                </c:ext>
              </c:extLst>
            </c:dLbl>
            <c:dLbl>
              <c:idx val="4"/>
              <c:layout>
                <c:manualLayout>
                  <c:x val="-8.3568209893867346E-2"/>
                  <c:y val="-0.12751599264906119"/>
                </c:manualLayout>
              </c:layout>
              <c:dLblPos val="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5-92EF-4955-9A90-48AE416E2A91}"/>
                </c:ext>
              </c:extLst>
            </c:dLbl>
            <c:dLbl>
              <c:idx val="5"/>
              <c:layout>
                <c:manualLayout>
                  <c:x val="-8.1688545815054983E-2"/>
                  <c:y val="-0.10034288301830421"/>
                </c:manualLayout>
              </c:layout>
              <c:dLblPos val="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6-92EF-4955-9A90-48AE416E2A91}"/>
                </c:ext>
              </c:extLst>
            </c:dLbl>
            <c:dLbl>
              <c:idx val="6"/>
              <c:layout>
                <c:manualLayout>
                  <c:x val="-5.283156457995377E-2"/>
                  <c:y val="-0.37454426201957863"/>
                </c:manualLayout>
              </c:layout>
              <c:dLblPos val="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C-92EF-4955-9A90-48AE416E2A91}"/>
                </c:ext>
              </c:extLst>
            </c:dLbl>
            <c:dLbl>
              <c:idx val="7"/>
              <c:layout>
                <c:manualLayout>
                  <c:x val="-4.1494471173783333E-2"/>
                  <c:y val="-0.10528344840571456"/>
                </c:manualLayout>
              </c:layout>
              <c:dLblPos val="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7-92EF-4955-9A90-48AE416E2A91}"/>
                </c:ext>
              </c:extLst>
            </c:dLbl>
            <c:dLbl>
              <c:idx val="8"/>
              <c:layout>
                <c:manualLayout>
                  <c:x val="-5.283156457995377E-2"/>
                  <c:y val="8.7398601703289003E-2"/>
                </c:manualLayout>
              </c:layout>
              <c:dLblPos val="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8-92EF-4955-9A90-48AE416E2A91}"/>
                </c:ext>
              </c:extLst>
            </c:dLbl>
            <c:dLbl>
              <c:idx val="9"/>
              <c:layout>
                <c:manualLayout>
                  <c:x val="-6.7017708570990889E-2"/>
                  <c:y val="-0.15715938497352325"/>
                </c:manualLayout>
              </c:layout>
              <c:dLblPos val="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9-92EF-4955-9A90-48AE416E2A91}"/>
                </c:ext>
              </c:extLst>
            </c:dLbl>
            <c:dLbl>
              <c:idx val="10"/>
              <c:layout>
                <c:manualLayout>
                  <c:x val="-5.5444179431636421E-3"/>
                  <c:y val="9.2339167090699448E-2"/>
                </c:manualLayout>
              </c:layout>
              <c:dLblPos val="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A-92EF-4955-9A90-48AE416E2A91}"/>
                </c:ext>
              </c:extLst>
            </c:dLbl>
            <c:dLbl>
              <c:idx val="11"/>
              <c:layout>
                <c:manualLayout>
                  <c:x val="-3.2780604301808708E-2"/>
                  <c:y val="-6.5758925306431765E-2"/>
                </c:manualLayout>
              </c:layout>
              <c:dLblPos val="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B-92EF-4955-9A90-48AE416E2A91}"/>
                </c:ext>
              </c:extLst>
            </c:dLbl>
            <c:spPr>
              <a:noFill/>
              <a:ln>
                <a:noFill/>
              </a:ln>
              <a:effectLst>
                <a:outerShdw blurRad="50800" dist="38100" dir="2700000" sx="118000" sy="118000" algn="tl" rotWithShape="0">
                  <a:schemeClr val="tx2">
                    <a:lumMod val="90000"/>
                    <a:lumOff val="10000"/>
                    <a:alpha val="40000"/>
                  </a:schemeClr>
                </a:outerShdw>
              </a:effectLst>
            </c:spPr>
            <c:txPr>
              <a:bodyPr rot="0" spcFirstLastPara="1" vertOverflow="ellipsis" vert="horz" wrap="square" lIns="38100" tIns="19050" rIns="38100" bIns="19050" anchor="ctr" anchorCtr="1">
                <a:spAutoFit/>
              </a:bodyPr>
              <a:lstStyle/>
              <a:p>
                <a:pPr>
                  <a:defRPr sz="1810" b="1" i="0" u="none" strike="noStrike" kern="1200" baseline="0">
                    <a:solidFill>
                      <a:schemeClr val="tx2">
                        <a:lumMod val="90000"/>
                        <a:lumOff val="10000"/>
                      </a:schemeClr>
                    </a:solidFill>
                    <a:latin typeface="+mn-lt"/>
                    <a:ea typeface="+mn-ea"/>
                    <a:cs typeface="+mn-cs"/>
                  </a:defRPr>
                </a:pPr>
                <a:endParaRPr lang="en-US"/>
              </a:p>
            </c:txPr>
            <c:dLblPos val="t"/>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pv!$T$24:$T$36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pv!$U$24:$U$36</c:f>
              <c:numCache>
                <c:formatCode>0,"M"</c:formatCode>
                <c:ptCount val="12"/>
                <c:pt idx="0">
                  <c:v>1108296.3</c:v>
                </c:pt>
                <c:pt idx="1">
                  <c:v>953682.00000000012</c:v>
                </c:pt>
                <c:pt idx="2">
                  <c:v>537684.29999999993</c:v>
                </c:pt>
                <c:pt idx="3">
                  <c:v>413129.4</c:v>
                </c:pt>
                <c:pt idx="4">
                  <c:v>916020.29999999993</c:v>
                </c:pt>
                <c:pt idx="5">
                  <c:v>1321515.5999999999</c:v>
                </c:pt>
                <c:pt idx="6">
                  <c:v>369928.80000000005</c:v>
                </c:pt>
                <c:pt idx="7">
                  <c:v>1392664.1999999997</c:v>
                </c:pt>
                <c:pt idx="8">
                  <c:v>809486.10000000009</c:v>
                </c:pt>
                <c:pt idx="9">
                  <c:v>819174.29999999993</c:v>
                </c:pt>
                <c:pt idx="10">
                  <c:v>766944.6</c:v>
                </c:pt>
                <c:pt idx="11">
                  <c:v>1645365.6</c:v>
                </c:pt>
              </c:numCache>
            </c:numRef>
          </c:val>
          <c:smooth val="1"/>
          <c:extLst>
            <c:ext xmlns:c16="http://schemas.microsoft.com/office/drawing/2014/chart" uri="{C3380CC4-5D6E-409C-BE32-E72D297353CC}">
              <c16:uniqueId val="{00000000-92EF-4955-9A90-48AE416E2A91}"/>
            </c:ext>
          </c:extLst>
        </c:ser>
        <c:dLbls>
          <c:dLblPos val="t"/>
          <c:showLegendKey val="0"/>
          <c:showVal val="1"/>
          <c:showCatName val="0"/>
          <c:showSerName val="0"/>
          <c:showPercent val="0"/>
          <c:showBubbleSize val="0"/>
        </c:dLbls>
        <c:marker val="1"/>
        <c:smooth val="0"/>
        <c:axId val="1743722687"/>
        <c:axId val="1743721727"/>
      </c:lineChart>
      <c:catAx>
        <c:axId val="174372268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10" b="1" i="0" u="none" strike="noStrike" kern="1200" baseline="0">
                <a:solidFill>
                  <a:schemeClr val="tx2">
                    <a:lumMod val="90000"/>
                    <a:lumOff val="10000"/>
                  </a:schemeClr>
                </a:solidFill>
                <a:latin typeface="+mn-lt"/>
                <a:ea typeface="+mn-ea"/>
                <a:cs typeface="+mn-cs"/>
              </a:defRPr>
            </a:pPr>
            <a:endParaRPr lang="en-US"/>
          </a:p>
        </c:txPr>
        <c:crossAx val="1743721727"/>
        <c:crosses val="autoZero"/>
        <c:auto val="1"/>
        <c:lblAlgn val="ctr"/>
        <c:lblOffset val="100"/>
        <c:noMultiLvlLbl val="0"/>
      </c:catAx>
      <c:valAx>
        <c:axId val="1743721727"/>
        <c:scaling>
          <c:orientation val="minMax"/>
        </c:scaling>
        <c:delete val="1"/>
        <c:axPos val="l"/>
        <c:numFmt formatCode="0,&quot;M&quot;" sourceLinked="1"/>
        <c:majorTickMark val="out"/>
        <c:minorTickMark val="none"/>
        <c:tickLblPos val="nextTo"/>
        <c:crossAx val="17437226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[Hotel dashboard.xlsx]pv!cust type</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400" b="1">
                <a:solidFill>
                  <a:schemeClr val="tx2">
                    <a:lumMod val="90000"/>
                    <a:lumOff val="10000"/>
                  </a:schemeClr>
                </a:solidFill>
              </a:rPr>
              <a:t>Count of Customer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a:outerShdw blurRad="50800" dist="38100" dir="2700000" algn="tl" rotWithShape="0">
                <a:srgbClr val="0E2841">
                  <a:lumMod val="90000"/>
                  <a:lumOff val="10000"/>
                  <a:alpha val="40000"/>
                </a:srgbClr>
              </a:outerShdw>
            </a:effectLst>
          </c:spPr>
          <c:txPr>
            <a:bodyPr rot="0" spcFirstLastPara="1" vertOverflow="clip" horzOverflow="clip" vert="horz" wrap="square" lIns="38100" tIns="19050" rIns="38100" bIns="19050" anchor="ctr" anchorCtr="1">
              <a:spAutoFit/>
            </a:bodyPr>
            <a:lstStyle/>
            <a:p>
              <a:pPr>
                <a:defRPr sz="1900" b="1" i="0" u="none" strike="noStrike" kern="1200" baseline="0">
                  <a:solidFill>
                    <a:schemeClr val="tx2">
                      <a:lumMod val="90000"/>
                      <a:lumOff val="10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tx2">
              <a:lumMod val="75000"/>
              <a:lumOff val="25000"/>
            </a:schemeClr>
          </a:solidFill>
          <a:ln w="19050">
            <a:solidFill>
              <a:schemeClr val="lt1"/>
            </a:solidFill>
          </a:ln>
          <a:effectLst/>
        </c:spPr>
        <c:dLbl>
          <c:idx val="0"/>
          <c:layout>
            <c:manualLayout>
              <c:x val="-9.1177913590483983E-17"/>
              <c:y val="5.992196367389023E-2"/>
            </c:manualLayout>
          </c:layout>
          <c:spPr>
            <a:solidFill>
              <a:sysClr val="window" lastClr="FFFFFF"/>
            </a:solidFill>
            <a:ln>
              <a:solidFill>
                <a:sysClr val="windowText" lastClr="000000">
                  <a:lumMod val="25000"/>
                  <a:lumOff val="75000"/>
                </a:sysClr>
              </a:solidFill>
            </a:ln>
            <a:effectLst>
              <a:outerShdw blurRad="50800" dist="38100" dir="2700000" algn="tl" rotWithShape="0">
                <a:srgbClr val="0E2841">
                  <a:lumMod val="90000"/>
                  <a:lumOff val="10000"/>
                  <a:alpha val="40000"/>
                </a:srgbClr>
              </a:outerShdw>
            </a:effectLst>
          </c:spPr>
          <c:txPr>
            <a:bodyPr rot="0" spcFirstLastPara="1" vertOverflow="clip" horzOverflow="clip" vert="horz" wrap="square" lIns="38100" tIns="19050" rIns="38100" bIns="19050" anchor="ctr" anchorCtr="1">
              <a:spAutoFit/>
            </a:bodyPr>
            <a:lstStyle/>
            <a:p>
              <a:pPr>
                <a:defRPr sz="1900" b="1" i="0" u="none" strike="noStrike" kern="1200" baseline="0">
                  <a:solidFill>
                    <a:schemeClr val="tx2">
                      <a:lumMod val="90000"/>
                      <a:lumOff val="1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tx2">
              <a:lumMod val="25000"/>
              <a:lumOff val="75000"/>
            </a:schemeClr>
          </a:solidFill>
          <a:ln w="19050">
            <a:solidFill>
              <a:schemeClr val="lt1"/>
            </a:solidFill>
          </a:ln>
          <a:effectLst>
            <a:outerShdw blurRad="50800" dist="38100" dir="2700000" algn="tl" rotWithShape="0">
              <a:schemeClr val="tx2">
                <a:lumMod val="90000"/>
                <a:lumOff val="10000"/>
                <a:alpha val="40000"/>
              </a:schemeClr>
            </a:outerShdw>
          </a:effectLst>
        </c:spPr>
        <c:dLbl>
          <c:idx val="0"/>
          <c:layout>
            <c:manualLayout>
              <c:x val="2.9840389162534568E-2"/>
              <c:y val="-0.10306577751909105"/>
            </c:manualLayout>
          </c:layout>
          <c:spPr>
            <a:solidFill>
              <a:sysClr val="window" lastClr="FFFFFF"/>
            </a:solidFill>
            <a:ln>
              <a:solidFill>
                <a:sysClr val="windowText" lastClr="000000">
                  <a:lumMod val="25000"/>
                  <a:lumOff val="75000"/>
                </a:sysClr>
              </a:solidFill>
            </a:ln>
            <a:effectLst>
              <a:outerShdw blurRad="50800" dist="38100" dir="2700000" algn="tl" rotWithShape="0">
                <a:srgbClr val="0E2841">
                  <a:lumMod val="90000"/>
                  <a:lumOff val="10000"/>
                  <a:alpha val="40000"/>
                </a:srgbClr>
              </a:outerShdw>
            </a:effectLst>
          </c:spPr>
          <c:txPr>
            <a:bodyPr rot="0" spcFirstLastPara="1" vertOverflow="clip" horzOverflow="clip" vert="horz" wrap="square" lIns="38100" tIns="19050" rIns="38100" bIns="19050" anchor="ctr" anchorCtr="1">
              <a:spAutoFit/>
            </a:bodyPr>
            <a:lstStyle/>
            <a:p>
              <a:pPr>
                <a:defRPr sz="1900" b="1" i="0" u="none" strike="noStrike" kern="1200" baseline="0">
                  <a:solidFill>
                    <a:schemeClr val="tx2">
                      <a:lumMod val="90000"/>
                      <a:lumOff val="1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s>
    <c:plotArea>
      <c:layout>
        <c:manualLayout>
          <c:layoutTarget val="inner"/>
          <c:xMode val="edge"/>
          <c:yMode val="edge"/>
          <c:x val="0.12609574680166655"/>
          <c:y val="0.18341443666768109"/>
          <c:w val="0.71775692015065928"/>
          <c:h val="0.73021487552241393"/>
        </c:manualLayout>
      </c:layout>
      <c:pieChart>
        <c:varyColors val="1"/>
        <c:ser>
          <c:idx val="0"/>
          <c:order val="0"/>
          <c:tx>
            <c:strRef>
              <c:f>pv!$U$3</c:f>
              <c:strCache>
                <c:ptCount val="1"/>
                <c:pt idx="0">
                  <c:v>Count of Customer ID</c:v>
                </c:pt>
              </c:strCache>
            </c:strRef>
          </c:tx>
          <c:dPt>
            <c:idx val="0"/>
            <c:bubble3D val="0"/>
            <c:spPr>
              <a:solidFill>
                <a:schemeClr val="tx2">
                  <a:lumMod val="75000"/>
                  <a:lumOff val="25000"/>
                </a:schemeClr>
              </a:solidFill>
              <a:ln w="19050">
                <a:solidFill>
                  <a:schemeClr val="lt1"/>
                </a:solidFill>
              </a:ln>
              <a:effectLst/>
            </c:spPr>
            <c:extLst>
              <c:ext xmlns:c16="http://schemas.microsoft.com/office/drawing/2014/chart" uri="{C3380CC4-5D6E-409C-BE32-E72D297353CC}">
                <c16:uniqueId val="{00000001-0223-4ACD-951E-3B03FB6CAF86}"/>
              </c:ext>
            </c:extLst>
          </c:dPt>
          <c:dPt>
            <c:idx val="1"/>
            <c:bubble3D val="0"/>
            <c:explosion val="11"/>
            <c:spPr>
              <a:solidFill>
                <a:schemeClr val="tx2">
                  <a:lumMod val="25000"/>
                  <a:lumOff val="75000"/>
                </a:schemeClr>
              </a:solidFill>
              <a:ln w="19050">
                <a:solidFill>
                  <a:schemeClr val="lt1"/>
                </a:solidFill>
              </a:ln>
              <a:effectLst>
                <a:outerShdw blurRad="50800" dist="38100" dir="2700000" algn="tl" rotWithShape="0">
                  <a:schemeClr val="tx2">
                    <a:lumMod val="90000"/>
                    <a:lumOff val="10000"/>
                    <a:alpha val="40000"/>
                  </a:schemeClr>
                </a:outerShdw>
              </a:effectLst>
            </c:spPr>
            <c:extLst>
              <c:ext xmlns:c16="http://schemas.microsoft.com/office/drawing/2014/chart" uri="{C3380CC4-5D6E-409C-BE32-E72D297353CC}">
                <c16:uniqueId val="{00000003-0223-4ACD-951E-3B03FB6CAF86}"/>
              </c:ext>
            </c:extLst>
          </c:dPt>
          <c:dLbls>
            <c:dLbl>
              <c:idx val="0"/>
              <c:layout>
                <c:manualLayout>
                  <c:x val="-9.1177913590483983E-17"/>
                  <c:y val="5.992196367389023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0223-4ACD-951E-3B03FB6CAF86}"/>
                </c:ext>
              </c:extLst>
            </c:dLbl>
            <c:dLbl>
              <c:idx val="1"/>
              <c:layout>
                <c:manualLayout>
                  <c:x val="2.9840389162534568E-2"/>
                  <c:y val="-0.10306577751909105"/>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0223-4ACD-951E-3B03FB6CAF86}"/>
                </c:ext>
              </c:extLst>
            </c:dLbl>
            <c:spPr>
              <a:solidFill>
                <a:sysClr val="window" lastClr="FFFFFF"/>
              </a:solidFill>
              <a:ln>
                <a:solidFill>
                  <a:sysClr val="windowText" lastClr="000000">
                    <a:lumMod val="25000"/>
                    <a:lumOff val="75000"/>
                  </a:sysClr>
                </a:solidFill>
              </a:ln>
              <a:effectLst>
                <a:outerShdw blurRad="50800" dist="38100" dir="2700000" algn="tl" rotWithShape="0">
                  <a:srgbClr val="0E2841">
                    <a:lumMod val="90000"/>
                    <a:lumOff val="10000"/>
                    <a:alpha val="40000"/>
                  </a:srgbClr>
                </a:outerShdw>
              </a:effectLst>
            </c:spPr>
            <c:txPr>
              <a:bodyPr rot="0" spcFirstLastPara="1" vertOverflow="clip" horzOverflow="clip" vert="horz" wrap="square" lIns="38100" tIns="19050" rIns="38100" bIns="19050" anchor="ctr" anchorCtr="1">
                <a:spAutoFit/>
              </a:bodyPr>
              <a:lstStyle/>
              <a:p>
                <a:pPr>
                  <a:defRPr sz="1900" b="1" i="0" u="none" strike="noStrike" kern="1200" baseline="0">
                    <a:solidFill>
                      <a:schemeClr val="tx2">
                        <a:lumMod val="90000"/>
                        <a:lumOff val="10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pv!$T$4:$T$6</c:f>
              <c:strCache>
                <c:ptCount val="2"/>
                <c:pt idx="0">
                  <c:v>Existing</c:v>
                </c:pt>
                <c:pt idx="1">
                  <c:v>New</c:v>
                </c:pt>
              </c:strCache>
            </c:strRef>
          </c:cat>
          <c:val>
            <c:numRef>
              <c:f>pv!$U$4:$U$6</c:f>
              <c:numCache>
                <c:formatCode>General</c:formatCode>
                <c:ptCount val="2"/>
                <c:pt idx="0">
                  <c:v>95</c:v>
                </c:pt>
                <c:pt idx="1">
                  <c:v>45</c:v>
                </c:pt>
              </c:numCache>
            </c:numRef>
          </c:val>
          <c:extLst>
            <c:ext xmlns:c16="http://schemas.microsoft.com/office/drawing/2014/chart" uri="{C3380CC4-5D6E-409C-BE32-E72D297353CC}">
              <c16:uniqueId val="{00000004-0223-4ACD-951E-3B03FB6CAF86}"/>
            </c:ext>
          </c:extLst>
        </c:ser>
        <c:ser>
          <c:idx val="1"/>
          <c:order val="1"/>
          <c:tx>
            <c:strRef>
              <c:f>pv!$V$3</c:f>
              <c:strCache>
                <c:ptCount val="1"/>
                <c:pt idx="0">
                  <c:v>Count of Customer ID2</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6-0223-4ACD-951E-3B03FB6CAF8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8-0223-4ACD-951E-3B03FB6CAF86}"/>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pv!$T$4:$T$6</c:f>
              <c:strCache>
                <c:ptCount val="2"/>
                <c:pt idx="0">
                  <c:v>Existing</c:v>
                </c:pt>
                <c:pt idx="1">
                  <c:v>New</c:v>
                </c:pt>
              </c:strCache>
            </c:strRef>
          </c:cat>
          <c:val>
            <c:numRef>
              <c:f>pv!$V$4:$V$6</c:f>
              <c:numCache>
                <c:formatCode>0.00%</c:formatCode>
                <c:ptCount val="2"/>
                <c:pt idx="0">
                  <c:v>0.6785714285714286</c:v>
                </c:pt>
                <c:pt idx="1">
                  <c:v>0.32142857142857145</c:v>
                </c:pt>
              </c:numCache>
            </c:numRef>
          </c:val>
          <c:extLst>
            <c:ext xmlns:c16="http://schemas.microsoft.com/office/drawing/2014/chart" uri="{C3380CC4-5D6E-409C-BE32-E72D297353CC}">
              <c16:uniqueId val="{00000009-0223-4ACD-951E-3B03FB6CAF86}"/>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[Hotel dashboard.xlsx]pv!room type</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400" b="1">
                <a:solidFill>
                  <a:schemeClr val="tx2">
                    <a:lumMod val="90000"/>
                    <a:lumOff val="10000"/>
                  </a:schemeClr>
                </a:solidFill>
              </a:rPr>
              <a:t>Room</a:t>
            </a:r>
            <a:r>
              <a:rPr lang="en-US" sz="2400" b="1" baseline="0">
                <a:solidFill>
                  <a:schemeClr val="tx2">
                    <a:lumMod val="90000"/>
                    <a:lumOff val="10000"/>
                  </a:schemeClr>
                </a:solidFill>
              </a:rPr>
              <a:t> booked &amp; Availability</a:t>
            </a:r>
            <a:endParaRPr lang="en-US" sz="2400" b="1">
              <a:solidFill>
                <a:schemeClr val="tx2">
                  <a:lumMod val="90000"/>
                  <a:lumOff val="1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2">
              <a:lumMod val="25000"/>
              <a:lumOff val="75000"/>
            </a:schemeClr>
          </a:solidFill>
          <a:ln>
            <a:noFill/>
          </a:ln>
          <a:effectLst/>
          <a:sp3d/>
        </c:spPr>
        <c:marker>
          <c:symbol val="none"/>
        </c:marker>
        <c:dLbl>
          <c:idx val="0"/>
          <c:spPr>
            <a:noFill/>
            <a:ln>
              <a:noFill/>
            </a:ln>
            <a:effectLst>
              <a:outerShdw blurRad="50800" dist="38100" dir="2700000" algn="tl" rotWithShape="0">
                <a:schemeClr val="tx2">
                  <a:lumMod val="90000"/>
                  <a:lumOff val="10000"/>
                  <a:alpha val="40000"/>
                </a:schemeClr>
              </a:outerShdw>
            </a:effectLst>
          </c:spPr>
          <c:txPr>
            <a:bodyPr rot="0" spcFirstLastPara="1" vertOverflow="ellipsis" vert="horz" wrap="square" lIns="38100" tIns="19050" rIns="38100" bIns="19050" anchor="ctr" anchorCtr="1">
              <a:spAutoFit/>
            </a:bodyPr>
            <a:lstStyle/>
            <a:p>
              <a:pPr>
                <a:defRPr sz="1640" b="1" i="0" u="none" strike="noStrike" kern="1200" baseline="0">
                  <a:solidFill>
                    <a:schemeClr val="tx2">
                      <a:lumMod val="90000"/>
                      <a:lumOff val="1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2">
              <a:lumMod val="75000"/>
              <a:lumOff val="25000"/>
            </a:schemeClr>
          </a:solidFill>
          <a:ln>
            <a:noFill/>
          </a:ln>
          <a:effectLst/>
          <a:sp3d/>
        </c:spPr>
        <c:marker>
          <c:symbol val="none"/>
        </c:marker>
        <c:dLbl>
          <c:idx val="0"/>
          <c:spPr>
            <a:noFill/>
            <a:ln>
              <a:noFill/>
            </a:ln>
            <a:effectLst>
              <a:outerShdw blurRad="50800" dist="38100" dir="2700000" algn="tl" rotWithShape="0">
                <a:schemeClr val="tx2">
                  <a:lumMod val="10000"/>
                  <a:lumOff val="90000"/>
                  <a:alpha val="40000"/>
                </a:schemeClr>
              </a:outerShdw>
            </a:effectLst>
          </c:spPr>
          <c:txPr>
            <a:bodyPr rot="0" spcFirstLastPara="1" vertOverflow="ellipsis" vert="horz" wrap="square" lIns="38100" tIns="19050" rIns="38100" bIns="19050" anchor="ctr" anchorCtr="1">
              <a:spAutoFit/>
            </a:bodyPr>
            <a:lstStyle/>
            <a:p>
              <a:pPr>
                <a:defRPr sz="183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pv!$U$10</c:f>
              <c:strCache>
                <c:ptCount val="1"/>
                <c:pt idx="0">
                  <c:v>Sum of Room Booked</c:v>
                </c:pt>
              </c:strCache>
            </c:strRef>
          </c:tx>
          <c:spPr>
            <a:solidFill>
              <a:schemeClr val="tx2">
                <a:lumMod val="25000"/>
                <a:lumOff val="75000"/>
              </a:schemeClr>
            </a:solidFill>
            <a:ln>
              <a:noFill/>
            </a:ln>
            <a:effectLst/>
            <a:sp3d/>
          </c:spPr>
          <c:invertIfNegative val="0"/>
          <c:dLbls>
            <c:spPr>
              <a:noFill/>
              <a:ln>
                <a:noFill/>
              </a:ln>
              <a:effectLst>
                <a:outerShdw blurRad="50800" dist="38100" dir="2700000" algn="tl" rotWithShape="0">
                  <a:schemeClr val="tx2">
                    <a:lumMod val="90000"/>
                    <a:lumOff val="10000"/>
                    <a:alpha val="40000"/>
                  </a:schemeClr>
                </a:outerShdw>
              </a:effectLst>
            </c:spPr>
            <c:txPr>
              <a:bodyPr rot="0" spcFirstLastPara="1" vertOverflow="ellipsis" vert="horz" wrap="square" lIns="38100" tIns="19050" rIns="38100" bIns="19050" anchor="ctr" anchorCtr="1">
                <a:spAutoFit/>
              </a:bodyPr>
              <a:lstStyle/>
              <a:p>
                <a:pPr>
                  <a:defRPr sz="1640" b="1" i="0" u="none" strike="noStrike" kern="1200" baseline="0">
                    <a:solidFill>
                      <a:schemeClr val="tx2">
                        <a:lumMod val="90000"/>
                        <a:lumOff val="1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pv!$T$11:$T$18</c:f>
              <c:strCache>
                <c:ptCount val="7"/>
                <c:pt idx="0">
                  <c:v>Business Class</c:v>
                </c:pt>
                <c:pt idx="1">
                  <c:v>Delux</c:v>
                </c:pt>
                <c:pt idx="2">
                  <c:v>Luxury</c:v>
                </c:pt>
                <c:pt idx="3">
                  <c:v>Regular</c:v>
                </c:pt>
                <c:pt idx="4">
                  <c:v>Sharing</c:v>
                </c:pt>
                <c:pt idx="5">
                  <c:v>Single</c:v>
                </c:pt>
                <c:pt idx="6">
                  <c:v>Super Luxury</c:v>
                </c:pt>
              </c:strCache>
            </c:strRef>
          </c:cat>
          <c:val>
            <c:numRef>
              <c:f>pv!$U$11:$U$18</c:f>
              <c:numCache>
                <c:formatCode>General</c:formatCode>
                <c:ptCount val="7"/>
                <c:pt idx="0">
                  <c:v>397</c:v>
                </c:pt>
                <c:pt idx="1">
                  <c:v>456</c:v>
                </c:pt>
                <c:pt idx="2">
                  <c:v>338</c:v>
                </c:pt>
                <c:pt idx="3">
                  <c:v>413</c:v>
                </c:pt>
                <c:pt idx="4">
                  <c:v>850</c:v>
                </c:pt>
                <c:pt idx="5">
                  <c:v>504</c:v>
                </c:pt>
                <c:pt idx="6">
                  <c:v>412</c:v>
                </c:pt>
              </c:numCache>
            </c:numRef>
          </c:val>
          <c:extLst>
            <c:ext xmlns:c16="http://schemas.microsoft.com/office/drawing/2014/chart" uri="{C3380CC4-5D6E-409C-BE32-E72D297353CC}">
              <c16:uniqueId val="{00000000-0208-49AC-89EF-A83B1675444B}"/>
            </c:ext>
          </c:extLst>
        </c:ser>
        <c:ser>
          <c:idx val="1"/>
          <c:order val="1"/>
          <c:tx>
            <c:strRef>
              <c:f>pv!$V$10</c:f>
              <c:strCache>
                <c:ptCount val="1"/>
                <c:pt idx="0">
                  <c:v>Sum of Room Available</c:v>
                </c:pt>
              </c:strCache>
            </c:strRef>
          </c:tx>
          <c:spPr>
            <a:solidFill>
              <a:schemeClr val="tx2">
                <a:lumMod val="75000"/>
                <a:lumOff val="25000"/>
              </a:schemeClr>
            </a:solidFill>
            <a:ln>
              <a:noFill/>
            </a:ln>
            <a:effectLst/>
            <a:sp3d/>
          </c:spPr>
          <c:invertIfNegative val="0"/>
          <c:dLbls>
            <c:spPr>
              <a:noFill/>
              <a:ln>
                <a:noFill/>
              </a:ln>
              <a:effectLst>
                <a:outerShdw blurRad="50800" dist="38100" dir="2700000" algn="tl" rotWithShape="0">
                  <a:schemeClr val="tx2">
                    <a:lumMod val="10000"/>
                    <a:lumOff val="90000"/>
                    <a:alpha val="40000"/>
                  </a:schemeClr>
                </a:outerShdw>
              </a:effectLst>
            </c:spPr>
            <c:txPr>
              <a:bodyPr rot="0" spcFirstLastPara="1" vertOverflow="ellipsis" vert="horz" wrap="square" lIns="38100" tIns="19050" rIns="38100" bIns="19050" anchor="ctr" anchorCtr="1">
                <a:spAutoFit/>
              </a:bodyPr>
              <a:lstStyle/>
              <a:p>
                <a:pPr>
                  <a:defRPr sz="183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pv!$T$11:$T$18</c:f>
              <c:strCache>
                <c:ptCount val="7"/>
                <c:pt idx="0">
                  <c:v>Business Class</c:v>
                </c:pt>
                <c:pt idx="1">
                  <c:v>Delux</c:v>
                </c:pt>
                <c:pt idx="2">
                  <c:v>Luxury</c:v>
                </c:pt>
                <c:pt idx="3">
                  <c:v>Regular</c:v>
                </c:pt>
                <c:pt idx="4">
                  <c:v>Sharing</c:v>
                </c:pt>
                <c:pt idx="5">
                  <c:v>Single</c:v>
                </c:pt>
                <c:pt idx="6">
                  <c:v>Super Luxury</c:v>
                </c:pt>
              </c:strCache>
            </c:strRef>
          </c:cat>
          <c:val>
            <c:numRef>
              <c:f>pv!$V$11:$V$18</c:f>
              <c:numCache>
                <c:formatCode>General</c:formatCode>
                <c:ptCount val="7"/>
                <c:pt idx="0">
                  <c:v>2079</c:v>
                </c:pt>
                <c:pt idx="1">
                  <c:v>2163</c:v>
                </c:pt>
                <c:pt idx="2">
                  <c:v>916</c:v>
                </c:pt>
                <c:pt idx="3">
                  <c:v>1951</c:v>
                </c:pt>
                <c:pt idx="4">
                  <c:v>3523</c:v>
                </c:pt>
                <c:pt idx="5">
                  <c:v>1902</c:v>
                </c:pt>
                <c:pt idx="6">
                  <c:v>2154</c:v>
                </c:pt>
              </c:numCache>
            </c:numRef>
          </c:val>
          <c:extLst>
            <c:ext xmlns:c16="http://schemas.microsoft.com/office/drawing/2014/chart" uri="{C3380CC4-5D6E-409C-BE32-E72D297353CC}">
              <c16:uniqueId val="{00000001-0208-49AC-89EF-A83B1675444B}"/>
            </c:ext>
          </c:extLst>
        </c:ser>
        <c:dLbls>
          <c:showLegendKey val="0"/>
          <c:showVal val="1"/>
          <c:showCatName val="0"/>
          <c:showSerName val="0"/>
          <c:showPercent val="0"/>
          <c:showBubbleSize val="0"/>
        </c:dLbls>
        <c:gapWidth val="108"/>
        <c:gapDepth val="73"/>
        <c:shape val="cylinder"/>
        <c:axId val="1263579983"/>
        <c:axId val="1612174399"/>
        <c:axId val="0"/>
      </c:bar3DChart>
      <c:catAx>
        <c:axId val="1263579983"/>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740" b="1" i="0" u="none" strike="noStrike" kern="1200" baseline="0">
                <a:solidFill>
                  <a:schemeClr val="tx2">
                    <a:lumMod val="90000"/>
                    <a:lumOff val="10000"/>
                  </a:schemeClr>
                </a:solidFill>
                <a:latin typeface="+mn-lt"/>
                <a:ea typeface="+mn-ea"/>
                <a:cs typeface="+mn-cs"/>
              </a:defRPr>
            </a:pPr>
            <a:endParaRPr lang="en-US"/>
          </a:p>
        </c:txPr>
        <c:crossAx val="1612174399"/>
        <c:crosses val="autoZero"/>
        <c:auto val="1"/>
        <c:lblAlgn val="ctr"/>
        <c:lblOffset val="100"/>
        <c:noMultiLvlLbl val="0"/>
      </c:catAx>
      <c:valAx>
        <c:axId val="1612174399"/>
        <c:scaling>
          <c:orientation val="minMax"/>
        </c:scaling>
        <c:delete val="1"/>
        <c:axPos val="b"/>
        <c:numFmt formatCode="General" sourceLinked="1"/>
        <c:majorTickMark val="out"/>
        <c:minorTickMark val="none"/>
        <c:tickLblPos val="nextTo"/>
        <c:crossAx val="12635799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title pos="t" align="ctr" overlay="0">
      <cx:tx>
        <cx:txData>
          <cx:v>Top booked Hotel</cx:v>
        </cx:txData>
      </cx:tx>
      <cx:txPr>
        <a:bodyPr spcFirstLastPara="1" vertOverflow="ellipsis" horzOverflow="overflow" wrap="square" lIns="0" tIns="0" rIns="0" bIns="0" anchor="ctr" anchorCtr="1"/>
        <a:lstStyle/>
        <a:p>
          <a:pPr algn="ctr" rtl="0">
            <a:defRPr/>
          </a:pPr>
          <a:r>
            <a:rPr lang="en-US" sz="2400" b="1" i="0" u="none" strike="noStrike" baseline="0">
              <a:solidFill>
                <a:schemeClr val="tx2">
                  <a:lumMod val="90000"/>
                  <a:lumOff val="10000"/>
                </a:schemeClr>
              </a:solidFill>
              <a:latin typeface="Aptos Narrow" panose="02110004020202020204"/>
            </a:rPr>
            <a:t>Top booked Hotel</a:t>
          </a:r>
        </a:p>
      </cx:txPr>
    </cx:title>
    <cx:plotArea>
      <cx:plotAreaRegion>
        <cx:series layoutId="funnel" uniqueId="{8626D1CB-E1AB-4511-A035-6687C5CDE02B}">
          <cx:spPr>
            <a:solidFill>
              <a:schemeClr val="tx2">
                <a:lumMod val="75000"/>
                <a:lumOff val="25000"/>
              </a:schemeClr>
            </a:solidFill>
            <a:effectLst>
              <a:outerShdw blurRad="50800" dist="38100" dir="2700000" algn="tl" rotWithShape="0">
                <a:schemeClr val="tx2">
                  <a:lumMod val="50000"/>
                  <a:lumOff val="50000"/>
                  <a:alpha val="40000"/>
                </a:schemeClr>
              </a:outerShdw>
            </a:effectLst>
          </cx:spPr>
          <cx:dataLabels>
            <cx:txPr>
              <a:bodyPr spcFirstLastPara="1" vertOverflow="ellipsis" horzOverflow="overflow" wrap="square" lIns="0" tIns="0" rIns="0" bIns="0" anchor="ctr" anchorCtr="1"/>
              <a:lstStyle/>
              <a:p>
                <a:pPr algn="ctr" rtl="0">
                  <a:defRPr sz="2070" b="1" i="0" baseline="0">
                    <a:solidFill>
                      <a:schemeClr val="bg1"/>
                    </a:solidFill>
                  </a:defRPr>
                </a:pPr>
                <a:endParaRPr lang="en-US" sz="2070" b="1" i="0" u="none" strike="noStrike" baseline="0">
                  <a:solidFill>
                    <a:schemeClr val="bg1"/>
                  </a:solidFill>
                  <a:latin typeface="Aptos Narrow" panose="02110004020202020204"/>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sz="1690" b="1" i="0" baseline="0">
                <a:solidFill>
                  <a:schemeClr val="tx2">
                    <a:lumMod val="90000"/>
                    <a:lumOff val="10000"/>
                  </a:schemeClr>
                </a:solidFill>
              </a:defRPr>
            </a:pPr>
            <a:endParaRPr lang="en-US" sz="1690" b="1" i="0" u="none" strike="noStrike" baseline="0">
              <a:solidFill>
                <a:schemeClr val="tx2">
                  <a:lumMod val="90000"/>
                  <a:lumOff val="10000"/>
                </a:schemeClr>
              </a:solidFill>
              <a:latin typeface="Aptos Narrow" panose="02110004020202020204"/>
            </a:endParaRPr>
          </a:p>
        </cx:txPr>
      </cx:axis>
    </cx:plotArea>
  </cx:chart>
</cx: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Reversed" id="24">
  <a:schemeClr val="accent4"/>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image" Target="../media/image13.png"/><Relationship Id="rId18" Type="http://schemas.openxmlformats.org/officeDocument/2006/relationships/chart" Target="../charts/chart3.xml"/><Relationship Id="rId3" Type="http://schemas.openxmlformats.org/officeDocument/2006/relationships/image" Target="../media/image3.png"/><Relationship Id="rId21" Type="http://schemas.openxmlformats.org/officeDocument/2006/relationships/image" Target="../media/image16.svg"/><Relationship Id="rId7" Type="http://schemas.openxmlformats.org/officeDocument/2006/relationships/image" Target="../media/image7.png"/><Relationship Id="rId12" Type="http://schemas.openxmlformats.org/officeDocument/2006/relationships/image" Target="../media/image12.svg"/><Relationship Id="rId17" Type="http://schemas.openxmlformats.org/officeDocument/2006/relationships/chart" Target="../charts/chart2.xml"/><Relationship Id="rId2" Type="http://schemas.openxmlformats.org/officeDocument/2006/relationships/image" Target="../media/image2.svg"/><Relationship Id="rId16" Type="http://schemas.microsoft.com/office/2014/relationships/chartEx" Target="../charts/chartEx1.xml"/><Relationship Id="rId20" Type="http://schemas.openxmlformats.org/officeDocument/2006/relationships/image" Target="../media/image15.pn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chart" Target="../charts/chart1.xml"/><Relationship Id="rId10" Type="http://schemas.openxmlformats.org/officeDocument/2006/relationships/image" Target="../media/image10.svg"/><Relationship Id="rId19" Type="http://schemas.openxmlformats.org/officeDocument/2006/relationships/chart" Target="../charts/chart4.xml"/><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image" Target="../media/image14.svg"/><Relationship Id="rId22"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429846</xdr:colOff>
      <xdr:row>0</xdr:row>
      <xdr:rowOff>78154</xdr:rowOff>
    </xdr:from>
    <xdr:to>
      <xdr:col>42</xdr:col>
      <xdr:colOff>97692</xdr:colOff>
      <xdr:row>86</xdr:row>
      <xdr:rowOff>117231</xdr:rowOff>
    </xdr:to>
    <xdr:sp macro="" textlink="">
      <xdr:nvSpPr>
        <xdr:cNvPr id="90" name="Rectangle 89">
          <a:extLst>
            <a:ext uri="{FF2B5EF4-FFF2-40B4-BE49-F238E27FC236}">
              <a16:creationId xmlns:a16="http://schemas.microsoft.com/office/drawing/2014/main" id="{030950BD-BCE1-145D-BD07-B7CCC1EDC4A3}"/>
            </a:ext>
          </a:extLst>
        </xdr:cNvPr>
        <xdr:cNvSpPr/>
      </xdr:nvSpPr>
      <xdr:spPr>
        <a:xfrm>
          <a:off x="429846" y="78154"/>
          <a:ext cx="25106923" cy="15161846"/>
        </a:xfrm>
        <a:prstGeom prst="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566615</xdr:colOff>
      <xdr:row>1</xdr:row>
      <xdr:rowOff>20595</xdr:rowOff>
    </xdr:from>
    <xdr:to>
      <xdr:col>17</xdr:col>
      <xdr:colOff>113458</xdr:colOff>
      <xdr:row>9</xdr:row>
      <xdr:rowOff>157034</xdr:rowOff>
    </xdr:to>
    <xdr:sp macro="" textlink="">
      <xdr:nvSpPr>
        <xdr:cNvPr id="4" name="Rectangle: Rounded Corners 3">
          <a:extLst>
            <a:ext uri="{FF2B5EF4-FFF2-40B4-BE49-F238E27FC236}">
              <a16:creationId xmlns:a16="http://schemas.microsoft.com/office/drawing/2014/main" id="{55D31DFA-A205-6A58-74F5-B22A73840219}"/>
            </a:ext>
          </a:extLst>
        </xdr:cNvPr>
        <xdr:cNvSpPr/>
      </xdr:nvSpPr>
      <xdr:spPr>
        <a:xfrm>
          <a:off x="566615" y="196441"/>
          <a:ext cx="9843612" cy="1543208"/>
        </a:xfrm>
        <a:prstGeom prst="roundRect">
          <a:avLst/>
        </a:prstGeom>
        <a:solidFill>
          <a:schemeClr val="tx2">
            <a:lumMod val="90000"/>
            <a:lumOff val="10000"/>
          </a:schemeClr>
        </a:solidFill>
        <a:ln>
          <a:solidFill>
            <a:schemeClr val="tx2">
              <a:lumMod val="25000"/>
              <a:lumOff val="75000"/>
            </a:schemeClr>
          </a:solid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600" b="1"/>
            <a:t>HOTEL</a:t>
          </a:r>
          <a:r>
            <a:rPr lang="en-US" sz="3600" b="1" baseline="0"/>
            <a:t> BOOKING DASHBOARD</a:t>
          </a:r>
          <a:endParaRPr lang="en-US" sz="3600" b="1"/>
        </a:p>
      </xdr:txBody>
    </xdr:sp>
    <xdr:clientData/>
  </xdr:twoCellAnchor>
  <xdr:twoCellAnchor editAs="oneCell">
    <xdr:from>
      <xdr:col>14</xdr:col>
      <xdr:colOff>95219</xdr:colOff>
      <xdr:row>2</xdr:row>
      <xdr:rowOff>42075</xdr:rowOff>
    </xdr:from>
    <xdr:to>
      <xdr:col>16</xdr:col>
      <xdr:colOff>102973</xdr:colOff>
      <xdr:row>8</xdr:row>
      <xdr:rowOff>144423</xdr:rowOff>
    </xdr:to>
    <xdr:pic>
      <xdr:nvPicPr>
        <xdr:cNvPr id="6" name="Graphic 5" descr="Teacher with solid fill">
          <a:extLst>
            <a:ext uri="{FF2B5EF4-FFF2-40B4-BE49-F238E27FC236}">
              <a16:creationId xmlns:a16="http://schemas.microsoft.com/office/drawing/2014/main" id="{DDF50A11-F9B1-72AB-4B47-DA1D4D7CCDD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744949" y="412778"/>
          <a:ext cx="1243429" cy="1214456"/>
        </a:xfrm>
        <a:prstGeom prst="rect">
          <a:avLst/>
        </a:prstGeom>
      </xdr:spPr>
    </xdr:pic>
    <xdr:clientData/>
  </xdr:twoCellAnchor>
  <xdr:twoCellAnchor editAs="oneCell">
    <xdr:from>
      <xdr:col>2</xdr:col>
      <xdr:colOff>129840</xdr:colOff>
      <xdr:row>2</xdr:row>
      <xdr:rowOff>65778</xdr:rowOff>
    </xdr:from>
    <xdr:to>
      <xdr:col>4</xdr:col>
      <xdr:colOff>217596</xdr:colOff>
      <xdr:row>8</xdr:row>
      <xdr:rowOff>136884</xdr:rowOff>
    </xdr:to>
    <xdr:pic>
      <xdr:nvPicPr>
        <xdr:cNvPr id="10" name="Graphic 9" descr="Building with solid fill">
          <a:extLst>
            <a:ext uri="{FF2B5EF4-FFF2-40B4-BE49-F238E27FC236}">
              <a16:creationId xmlns:a16="http://schemas.microsoft.com/office/drawing/2014/main" id="{E8D4AB33-5C46-0234-48CB-41E25E12129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336340" y="446778"/>
          <a:ext cx="1294256" cy="1214106"/>
        </a:xfrm>
        <a:prstGeom prst="rect">
          <a:avLst/>
        </a:prstGeom>
        <a:effectLst>
          <a:glow rad="101600">
            <a:schemeClr val="accent1">
              <a:satMod val="175000"/>
              <a:alpha val="40000"/>
            </a:schemeClr>
          </a:glow>
        </a:effectLst>
        <a:scene3d>
          <a:camera prst="obliqueTopLeft"/>
          <a:lightRig rig="threePt" dir="t"/>
        </a:scene3d>
      </xdr:spPr>
    </xdr:pic>
    <xdr:clientData/>
  </xdr:twoCellAnchor>
  <xdr:twoCellAnchor>
    <xdr:from>
      <xdr:col>1</xdr:col>
      <xdr:colOff>496373</xdr:colOff>
      <xdr:row>10</xdr:row>
      <xdr:rowOff>63501</xdr:rowOff>
    </xdr:from>
    <xdr:to>
      <xdr:col>15</xdr:col>
      <xdr:colOff>174625</xdr:colOff>
      <xdr:row>15</xdr:row>
      <xdr:rowOff>92075</xdr:rowOff>
    </xdr:to>
    <xdr:sp macro="" textlink="">
      <xdr:nvSpPr>
        <xdr:cNvPr id="11" name="Speech Bubble: Rectangle with Corners Rounded 10">
          <a:extLst>
            <a:ext uri="{FF2B5EF4-FFF2-40B4-BE49-F238E27FC236}">
              <a16:creationId xmlns:a16="http://schemas.microsoft.com/office/drawing/2014/main" id="{E628C5A8-FB3F-7DFB-EF3D-7BCF65274131}"/>
            </a:ext>
          </a:extLst>
        </xdr:cNvPr>
        <xdr:cNvSpPr/>
      </xdr:nvSpPr>
      <xdr:spPr>
        <a:xfrm>
          <a:off x="1099623" y="1968501"/>
          <a:ext cx="8123752" cy="981074"/>
        </a:xfrm>
        <a:prstGeom prst="wedgeRoundRectCallout">
          <a:avLst/>
        </a:prstGeom>
        <a:solidFill>
          <a:schemeClr val="tx2">
            <a:lumMod val="75000"/>
            <a:lumOff val="25000"/>
          </a:schemeClr>
        </a:solidFill>
        <a:ln>
          <a:solidFill>
            <a:schemeClr val="tx2">
              <a:lumMod val="25000"/>
              <a:lumOff val="75000"/>
            </a:schemeClr>
          </a:solid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US" sz="3200" b="1">
              <a:solidFill>
                <a:schemeClr val="lt1"/>
              </a:solidFill>
              <a:latin typeface="+mn-lt"/>
              <a:ea typeface="+mn-ea"/>
              <a:cs typeface="+mn-cs"/>
            </a:rPr>
            <a:t>Room</a:t>
          </a:r>
          <a:r>
            <a:rPr lang="en-US" sz="3200" b="1" baseline="0">
              <a:solidFill>
                <a:schemeClr val="lt1"/>
              </a:solidFill>
              <a:latin typeface="+mn-lt"/>
              <a:ea typeface="+mn-ea"/>
              <a:cs typeface="+mn-cs"/>
            </a:rPr>
            <a:t> Available By Hotel Name</a:t>
          </a:r>
          <a:endParaRPr lang="en-US" sz="3200" b="1">
            <a:solidFill>
              <a:schemeClr val="lt1"/>
            </a:solidFill>
            <a:latin typeface="+mn-lt"/>
            <a:ea typeface="+mn-ea"/>
            <a:cs typeface="+mn-cs"/>
          </a:endParaRPr>
        </a:p>
      </xdr:txBody>
    </xdr:sp>
    <xdr:clientData/>
  </xdr:twoCellAnchor>
  <xdr:twoCellAnchor>
    <xdr:from>
      <xdr:col>12</xdr:col>
      <xdr:colOff>165088</xdr:colOff>
      <xdr:row>17</xdr:row>
      <xdr:rowOff>18551</xdr:rowOff>
    </xdr:from>
    <xdr:to>
      <xdr:col>17</xdr:col>
      <xdr:colOff>131142</xdr:colOff>
      <xdr:row>19</xdr:row>
      <xdr:rowOff>151724</xdr:rowOff>
    </xdr:to>
    <xdr:sp macro="" textlink="">
      <xdr:nvSpPr>
        <xdr:cNvPr id="13" name="Speech Bubble: Rectangle with Corners Rounded 12">
          <a:extLst>
            <a:ext uri="{FF2B5EF4-FFF2-40B4-BE49-F238E27FC236}">
              <a16:creationId xmlns:a16="http://schemas.microsoft.com/office/drawing/2014/main" id="{ACEAADED-A62A-4F8E-9231-1A4DB3801303}"/>
            </a:ext>
          </a:extLst>
        </xdr:cNvPr>
        <xdr:cNvSpPr/>
      </xdr:nvSpPr>
      <xdr:spPr>
        <a:xfrm>
          <a:off x="7433396" y="3007936"/>
          <a:ext cx="2994515" cy="484865"/>
        </a:xfrm>
        <a:prstGeom prst="roundRect">
          <a:avLst/>
        </a:prstGeom>
        <a:solidFill>
          <a:schemeClr val="bg1"/>
        </a:solidFill>
        <a:ln>
          <a:solidFill>
            <a:schemeClr val="tx2">
              <a:lumMod val="25000"/>
              <a:lumOff val="75000"/>
            </a:schemeClr>
          </a:solid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US" sz="3200" b="1">
              <a:solidFill>
                <a:schemeClr val="tx2">
                  <a:lumMod val="90000"/>
                  <a:lumOff val="10000"/>
                </a:schemeClr>
              </a:solidFill>
              <a:latin typeface="+mn-lt"/>
              <a:ea typeface="+mn-ea"/>
              <a:cs typeface="+mn-cs"/>
            </a:rPr>
            <a:t>Hotel Sunshine</a:t>
          </a:r>
        </a:p>
      </xdr:txBody>
    </xdr:sp>
    <xdr:clientData/>
  </xdr:twoCellAnchor>
  <xdr:twoCellAnchor>
    <xdr:from>
      <xdr:col>12</xdr:col>
      <xdr:colOff>175635</xdr:colOff>
      <xdr:row>20</xdr:row>
      <xdr:rowOff>84272</xdr:rowOff>
    </xdr:from>
    <xdr:to>
      <xdr:col>15</xdr:col>
      <xdr:colOff>541864</xdr:colOff>
      <xdr:row>26</xdr:row>
      <xdr:rowOff>64877</xdr:rowOff>
    </xdr:to>
    <xdr:sp macro="" textlink="pv!B6">
      <xdr:nvSpPr>
        <xdr:cNvPr id="21" name="Rectangle: Rounded Corners 20">
          <a:extLst>
            <a:ext uri="{FF2B5EF4-FFF2-40B4-BE49-F238E27FC236}">
              <a16:creationId xmlns:a16="http://schemas.microsoft.com/office/drawing/2014/main" id="{91E1AD57-852B-4B8D-AF34-A3EAB84703C7}"/>
            </a:ext>
          </a:extLst>
        </xdr:cNvPr>
        <xdr:cNvSpPr/>
      </xdr:nvSpPr>
      <xdr:spPr>
        <a:xfrm>
          <a:off x="7443943" y="3601195"/>
          <a:ext cx="2183306" cy="1035682"/>
        </a:xfrm>
        <a:prstGeom prst="roundRect">
          <a:avLst/>
        </a:prstGeom>
        <a:solidFill>
          <a:schemeClr val="tx2">
            <a:lumMod val="75000"/>
            <a:lumOff val="25000"/>
          </a:schemeClr>
        </a:solidFill>
        <a:ln>
          <a:solidFill>
            <a:schemeClr val="tx2">
              <a:lumMod val="25000"/>
              <a:lumOff val="75000"/>
            </a:schemeClr>
          </a:solidFill>
        </a:ln>
        <a:effectLst>
          <a:outerShdw blurRad="76200" dist="12700" dir="8100000" sy="-23000" kx="800400" algn="br" rotWithShape="0">
            <a:prstClr val="black">
              <a:alpha val="20000"/>
            </a:prstClr>
          </a:outerShd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8AD8307B-A075-4998-8146-51A90F280392}" type="TxLink">
            <a:rPr lang="en-US" sz="3600" b="1" i="0" u="none" strike="noStrike">
              <a:solidFill>
                <a:schemeClr val="bg1"/>
              </a:solidFill>
              <a:latin typeface="Aptos Narrow"/>
              <a:ea typeface="+mn-ea"/>
              <a:cs typeface="+mn-cs"/>
            </a:rPr>
            <a:t>1676</a:t>
          </a:fld>
          <a:endParaRPr lang="en-US" sz="3600" b="1">
            <a:solidFill>
              <a:schemeClr val="bg1"/>
            </a:solidFill>
            <a:latin typeface="+mn-lt"/>
            <a:ea typeface="+mn-ea"/>
            <a:cs typeface="+mn-cs"/>
          </a:endParaRPr>
        </a:p>
      </xdr:txBody>
    </xdr:sp>
    <xdr:clientData/>
  </xdr:twoCellAnchor>
  <xdr:twoCellAnchor>
    <xdr:from>
      <xdr:col>2</xdr:col>
      <xdr:colOff>123279</xdr:colOff>
      <xdr:row>17</xdr:row>
      <xdr:rowOff>24902</xdr:rowOff>
    </xdr:from>
    <xdr:to>
      <xdr:col>6</xdr:col>
      <xdr:colOff>483649</xdr:colOff>
      <xdr:row>19</xdr:row>
      <xdr:rowOff>154689</xdr:rowOff>
    </xdr:to>
    <xdr:sp macro="" textlink="">
      <xdr:nvSpPr>
        <xdr:cNvPr id="31" name="Speech Bubble: Rectangle with Corners Rounded 30">
          <a:extLst>
            <a:ext uri="{FF2B5EF4-FFF2-40B4-BE49-F238E27FC236}">
              <a16:creationId xmlns:a16="http://schemas.microsoft.com/office/drawing/2014/main" id="{08649F77-3772-B6A0-D7D2-C43B70B1D16D}"/>
            </a:ext>
          </a:extLst>
        </xdr:cNvPr>
        <xdr:cNvSpPr/>
      </xdr:nvSpPr>
      <xdr:spPr>
        <a:xfrm>
          <a:off x="1334664" y="3014287"/>
          <a:ext cx="2783139" cy="481479"/>
        </a:xfrm>
        <a:prstGeom prst="roundRect">
          <a:avLst/>
        </a:prstGeom>
        <a:solidFill>
          <a:schemeClr val="bg1"/>
        </a:solidFill>
        <a:ln>
          <a:solidFill>
            <a:schemeClr val="tx2">
              <a:lumMod val="25000"/>
              <a:lumOff val="75000"/>
            </a:schemeClr>
          </a:solid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US" sz="3200" b="1">
              <a:solidFill>
                <a:schemeClr val="tx2">
                  <a:lumMod val="90000"/>
                  <a:lumOff val="10000"/>
                </a:schemeClr>
              </a:solidFill>
              <a:latin typeface="+mn-lt"/>
              <a:ea typeface="+mn-ea"/>
              <a:cs typeface="+mn-cs"/>
            </a:rPr>
            <a:t>Empire Grand</a:t>
          </a:r>
        </a:p>
      </xdr:txBody>
    </xdr:sp>
    <xdr:clientData/>
  </xdr:twoCellAnchor>
  <xdr:twoCellAnchor>
    <xdr:from>
      <xdr:col>2</xdr:col>
      <xdr:colOff>117889</xdr:colOff>
      <xdr:row>20</xdr:row>
      <xdr:rowOff>86481</xdr:rowOff>
    </xdr:from>
    <xdr:to>
      <xdr:col>5</xdr:col>
      <xdr:colOff>463091</xdr:colOff>
      <xdr:row>25</xdr:row>
      <xdr:rowOff>160131</xdr:rowOff>
    </xdr:to>
    <xdr:sp macro="" textlink="pv!B4">
      <xdr:nvSpPr>
        <xdr:cNvPr id="32" name="Rectangle: Rounded Corners 31">
          <a:extLst>
            <a:ext uri="{FF2B5EF4-FFF2-40B4-BE49-F238E27FC236}">
              <a16:creationId xmlns:a16="http://schemas.microsoft.com/office/drawing/2014/main" id="{BCDC7E63-874E-AA6A-EDA9-8D059A2D76BD}"/>
            </a:ext>
          </a:extLst>
        </xdr:cNvPr>
        <xdr:cNvSpPr/>
      </xdr:nvSpPr>
      <xdr:spPr>
        <a:xfrm>
          <a:off x="1329274" y="3603404"/>
          <a:ext cx="2162279" cy="952881"/>
        </a:xfrm>
        <a:prstGeom prst="roundRect">
          <a:avLst/>
        </a:prstGeom>
        <a:solidFill>
          <a:schemeClr val="tx2">
            <a:lumMod val="75000"/>
            <a:lumOff val="25000"/>
          </a:schemeClr>
        </a:solidFill>
        <a:ln>
          <a:solidFill>
            <a:schemeClr val="tx2">
              <a:lumMod val="25000"/>
              <a:lumOff val="75000"/>
            </a:schemeClr>
          </a:solidFill>
        </a:ln>
        <a:effectLst>
          <a:outerShdw blurRad="76200" dist="12700" dir="8100000" sy="-23000" kx="800400" algn="br" rotWithShape="0">
            <a:prstClr val="black">
              <a:alpha val="20000"/>
            </a:prstClr>
          </a:outerShd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A32E1304-2FF8-4303-A24A-D371C9F7950B}" type="TxLink">
            <a:rPr lang="en-US" sz="3600" b="1" i="0" u="none" strike="noStrike">
              <a:solidFill>
                <a:schemeClr val="bg1"/>
              </a:solidFill>
              <a:latin typeface="Aptos Narrow"/>
              <a:ea typeface="+mn-ea"/>
              <a:cs typeface="+mn-cs"/>
            </a:rPr>
            <a:t>2093</a:t>
          </a:fld>
          <a:endParaRPr lang="en-US" sz="3600" b="1">
            <a:solidFill>
              <a:schemeClr val="bg1"/>
            </a:solidFill>
            <a:latin typeface="+mn-lt"/>
            <a:ea typeface="+mn-ea"/>
            <a:cs typeface="+mn-cs"/>
          </a:endParaRPr>
        </a:p>
      </xdr:txBody>
    </xdr:sp>
    <xdr:clientData/>
  </xdr:twoCellAnchor>
  <xdr:twoCellAnchor>
    <xdr:from>
      <xdr:col>7</xdr:col>
      <xdr:colOff>19998</xdr:colOff>
      <xdr:row>17</xdr:row>
      <xdr:rowOff>18552</xdr:rowOff>
    </xdr:from>
    <xdr:to>
      <xdr:col>12</xdr:col>
      <xdr:colOff>33131</xdr:colOff>
      <xdr:row>19</xdr:row>
      <xdr:rowOff>152850</xdr:rowOff>
    </xdr:to>
    <xdr:sp macro="" textlink="">
      <xdr:nvSpPr>
        <xdr:cNvPr id="34" name="Speech Bubble: Rectangle with Corners Rounded 33">
          <a:extLst>
            <a:ext uri="{FF2B5EF4-FFF2-40B4-BE49-F238E27FC236}">
              <a16:creationId xmlns:a16="http://schemas.microsoft.com/office/drawing/2014/main" id="{F389C15E-9102-9B34-6943-79B50AC1AC1B}"/>
            </a:ext>
          </a:extLst>
        </xdr:cNvPr>
        <xdr:cNvSpPr/>
      </xdr:nvSpPr>
      <xdr:spPr>
        <a:xfrm>
          <a:off x="4259844" y="3007937"/>
          <a:ext cx="3041595" cy="485990"/>
        </a:xfrm>
        <a:prstGeom prst="roundRect">
          <a:avLst/>
        </a:prstGeom>
        <a:solidFill>
          <a:schemeClr val="bg1"/>
        </a:solidFill>
        <a:ln>
          <a:solidFill>
            <a:schemeClr val="tx2">
              <a:lumMod val="25000"/>
              <a:lumOff val="75000"/>
            </a:schemeClr>
          </a:solid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US" sz="3200" b="1">
              <a:solidFill>
                <a:schemeClr val="tx2">
                  <a:lumMod val="90000"/>
                  <a:lumOff val="10000"/>
                </a:schemeClr>
              </a:solidFill>
              <a:latin typeface="+mn-lt"/>
              <a:ea typeface="+mn-ea"/>
              <a:cs typeface="+mn-cs"/>
            </a:rPr>
            <a:t>Hames Palace</a:t>
          </a:r>
        </a:p>
      </xdr:txBody>
    </xdr:sp>
    <xdr:clientData/>
  </xdr:twoCellAnchor>
  <xdr:twoCellAnchor>
    <xdr:from>
      <xdr:col>7</xdr:col>
      <xdr:colOff>151039</xdr:colOff>
      <xdr:row>20</xdr:row>
      <xdr:rowOff>100378</xdr:rowOff>
    </xdr:from>
    <xdr:to>
      <xdr:col>10</xdr:col>
      <xdr:colOff>573309</xdr:colOff>
      <xdr:row>26</xdr:row>
      <xdr:rowOff>25537</xdr:rowOff>
    </xdr:to>
    <xdr:sp macro="" textlink="pv!B5">
      <xdr:nvSpPr>
        <xdr:cNvPr id="35" name="Rectangle: Rounded Corners 34">
          <a:extLst>
            <a:ext uri="{FF2B5EF4-FFF2-40B4-BE49-F238E27FC236}">
              <a16:creationId xmlns:a16="http://schemas.microsoft.com/office/drawing/2014/main" id="{B35E2ECD-DC3C-E2DE-EC37-CCA8A228B77F}"/>
            </a:ext>
          </a:extLst>
        </xdr:cNvPr>
        <xdr:cNvSpPr/>
      </xdr:nvSpPr>
      <xdr:spPr>
        <a:xfrm>
          <a:off x="4390885" y="3617301"/>
          <a:ext cx="2239347" cy="980236"/>
        </a:xfrm>
        <a:prstGeom prst="roundRect">
          <a:avLst/>
        </a:prstGeom>
        <a:solidFill>
          <a:schemeClr val="tx2">
            <a:lumMod val="75000"/>
            <a:lumOff val="25000"/>
          </a:schemeClr>
        </a:solidFill>
        <a:ln>
          <a:solidFill>
            <a:schemeClr val="tx2">
              <a:lumMod val="25000"/>
              <a:lumOff val="75000"/>
            </a:schemeClr>
          </a:solidFill>
        </a:ln>
        <a:effectLst>
          <a:outerShdw blurRad="76200" dist="12700" dir="8100000" sy="-23000" kx="800400" algn="br" rotWithShape="0">
            <a:prstClr val="black">
              <a:alpha val="20000"/>
            </a:prstClr>
          </a:outerShd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8C1A45A1-F044-4ECF-BDD3-3F8082FB2423}" type="TxLink">
            <a:rPr lang="en-US" sz="3600" b="1" i="0" u="none" strike="noStrike">
              <a:solidFill>
                <a:schemeClr val="bg1"/>
              </a:solidFill>
              <a:latin typeface="Aptos Narrow"/>
              <a:ea typeface="+mn-ea"/>
              <a:cs typeface="+mn-cs"/>
            </a:rPr>
            <a:pPr marL="0" indent="0" algn="ctr"/>
            <a:t>2120</a:t>
          </a:fld>
          <a:endParaRPr lang="en-US" sz="3600" b="1" i="0" u="none" strike="noStrike">
            <a:solidFill>
              <a:schemeClr val="bg1"/>
            </a:solidFill>
            <a:latin typeface="Aptos Narrow"/>
            <a:ea typeface="+mn-ea"/>
            <a:cs typeface="+mn-cs"/>
          </a:endParaRPr>
        </a:p>
      </xdr:txBody>
    </xdr:sp>
    <xdr:clientData/>
  </xdr:twoCellAnchor>
  <xdr:twoCellAnchor>
    <xdr:from>
      <xdr:col>32</xdr:col>
      <xdr:colOff>55754</xdr:colOff>
      <xdr:row>16</xdr:row>
      <xdr:rowOff>167641</xdr:rowOff>
    </xdr:from>
    <xdr:to>
      <xdr:col>36</xdr:col>
      <xdr:colOff>419431</xdr:colOff>
      <xdr:row>19</xdr:row>
      <xdr:rowOff>125971</xdr:rowOff>
    </xdr:to>
    <xdr:sp macro="" textlink="">
      <xdr:nvSpPr>
        <xdr:cNvPr id="37" name="Speech Bubble: Rectangle with Corners Rounded 36">
          <a:extLst>
            <a:ext uri="{FF2B5EF4-FFF2-40B4-BE49-F238E27FC236}">
              <a16:creationId xmlns:a16="http://schemas.microsoft.com/office/drawing/2014/main" id="{F4093372-4493-EA1A-7CDB-8668E3781245}"/>
            </a:ext>
          </a:extLst>
        </xdr:cNvPr>
        <xdr:cNvSpPr/>
      </xdr:nvSpPr>
      <xdr:spPr>
        <a:xfrm>
          <a:off x="19437908" y="2981179"/>
          <a:ext cx="2786446" cy="485869"/>
        </a:xfrm>
        <a:prstGeom prst="roundRect">
          <a:avLst/>
        </a:prstGeom>
        <a:solidFill>
          <a:schemeClr val="bg1"/>
        </a:solidFill>
        <a:ln>
          <a:solidFill>
            <a:schemeClr val="tx2">
              <a:lumMod val="25000"/>
              <a:lumOff val="75000"/>
            </a:schemeClr>
          </a:solid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US" sz="3200" b="1">
              <a:solidFill>
                <a:schemeClr val="tx2">
                  <a:lumMod val="90000"/>
                  <a:lumOff val="10000"/>
                </a:schemeClr>
              </a:solidFill>
              <a:latin typeface="+mn-lt"/>
              <a:ea typeface="+mn-ea"/>
              <a:cs typeface="+mn-cs"/>
            </a:rPr>
            <a:t>Palace Inn</a:t>
          </a:r>
        </a:p>
      </xdr:txBody>
    </xdr:sp>
    <xdr:clientData/>
  </xdr:twoCellAnchor>
  <xdr:twoCellAnchor>
    <xdr:from>
      <xdr:col>32</xdr:col>
      <xdr:colOff>50359</xdr:colOff>
      <xdr:row>20</xdr:row>
      <xdr:rowOff>58744</xdr:rowOff>
    </xdr:from>
    <xdr:to>
      <xdr:col>35</xdr:col>
      <xdr:colOff>413241</xdr:colOff>
      <xdr:row>25</xdr:row>
      <xdr:rowOff>158750</xdr:rowOff>
    </xdr:to>
    <xdr:sp macro="" textlink="pv!B10">
      <xdr:nvSpPr>
        <xdr:cNvPr id="38" name="Rectangle: Rounded Corners 37">
          <a:extLst>
            <a:ext uri="{FF2B5EF4-FFF2-40B4-BE49-F238E27FC236}">
              <a16:creationId xmlns:a16="http://schemas.microsoft.com/office/drawing/2014/main" id="{74BC213C-61F3-E699-D399-3187969E18AD}"/>
            </a:ext>
          </a:extLst>
        </xdr:cNvPr>
        <xdr:cNvSpPr/>
      </xdr:nvSpPr>
      <xdr:spPr>
        <a:xfrm>
          <a:off x="19432513" y="3575667"/>
          <a:ext cx="2179959" cy="979237"/>
        </a:xfrm>
        <a:prstGeom prst="roundRect">
          <a:avLst/>
        </a:prstGeom>
        <a:solidFill>
          <a:schemeClr val="tx2">
            <a:lumMod val="75000"/>
            <a:lumOff val="25000"/>
          </a:schemeClr>
        </a:solidFill>
        <a:ln>
          <a:solidFill>
            <a:schemeClr val="tx2">
              <a:lumMod val="25000"/>
              <a:lumOff val="75000"/>
            </a:schemeClr>
          </a:solidFill>
        </a:ln>
        <a:effectLst>
          <a:outerShdw blurRad="76200" dist="12700" dir="8100000" sy="-23000" kx="800400" algn="br" rotWithShape="0">
            <a:prstClr val="black">
              <a:alpha val="20000"/>
            </a:prstClr>
          </a:outerShd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7A82C180-633B-4B5C-877D-DF3345D54119}" type="TxLink">
            <a:rPr lang="en-US" sz="3600" b="1" i="0" u="none" strike="noStrike">
              <a:solidFill>
                <a:schemeClr val="bg1"/>
              </a:solidFill>
              <a:latin typeface="Aptos Narrow"/>
              <a:ea typeface="+mn-ea"/>
              <a:cs typeface="+mn-cs"/>
            </a:rPr>
            <a:t>998</a:t>
          </a:fld>
          <a:endParaRPr lang="en-US" sz="3600" b="1">
            <a:solidFill>
              <a:schemeClr val="bg1"/>
            </a:solidFill>
            <a:latin typeface="+mn-lt"/>
            <a:ea typeface="+mn-ea"/>
            <a:cs typeface="+mn-cs"/>
          </a:endParaRPr>
        </a:p>
      </xdr:txBody>
    </xdr:sp>
    <xdr:clientData/>
  </xdr:twoCellAnchor>
  <xdr:twoCellAnchor>
    <xdr:from>
      <xdr:col>27</xdr:col>
      <xdr:colOff>87560</xdr:colOff>
      <xdr:row>16</xdr:row>
      <xdr:rowOff>167640</xdr:rowOff>
    </xdr:from>
    <xdr:to>
      <xdr:col>31</xdr:col>
      <xdr:colOff>451237</xdr:colOff>
      <xdr:row>19</xdr:row>
      <xdr:rowOff>126346</xdr:rowOff>
    </xdr:to>
    <xdr:sp macro="" textlink="">
      <xdr:nvSpPr>
        <xdr:cNvPr id="40" name="Speech Bubble: Rectangle with Corners Rounded 39">
          <a:extLst>
            <a:ext uri="{FF2B5EF4-FFF2-40B4-BE49-F238E27FC236}">
              <a16:creationId xmlns:a16="http://schemas.microsoft.com/office/drawing/2014/main" id="{90B7351F-5809-ACDB-098F-14C232F80173}"/>
            </a:ext>
          </a:extLst>
        </xdr:cNvPr>
        <xdr:cNvSpPr/>
      </xdr:nvSpPr>
      <xdr:spPr>
        <a:xfrm>
          <a:off x="16441252" y="2981178"/>
          <a:ext cx="2786447" cy="486245"/>
        </a:xfrm>
        <a:prstGeom prst="roundRect">
          <a:avLst/>
        </a:prstGeom>
        <a:solidFill>
          <a:schemeClr val="bg1"/>
        </a:solidFill>
        <a:ln>
          <a:solidFill>
            <a:schemeClr val="tx2">
              <a:lumMod val="25000"/>
              <a:lumOff val="75000"/>
            </a:schemeClr>
          </a:solid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US" sz="3200" b="1">
              <a:solidFill>
                <a:schemeClr val="tx2">
                  <a:lumMod val="90000"/>
                  <a:lumOff val="10000"/>
                </a:schemeClr>
              </a:solidFill>
              <a:latin typeface="+mn-lt"/>
              <a:ea typeface="+mn-ea"/>
              <a:cs typeface="+mn-cs"/>
            </a:rPr>
            <a:t>Opera House</a:t>
          </a:r>
        </a:p>
      </xdr:txBody>
    </xdr:sp>
    <xdr:clientData/>
  </xdr:twoCellAnchor>
  <xdr:twoCellAnchor>
    <xdr:from>
      <xdr:col>27</xdr:col>
      <xdr:colOff>82164</xdr:colOff>
      <xdr:row>20</xdr:row>
      <xdr:rowOff>59203</xdr:rowOff>
    </xdr:from>
    <xdr:to>
      <xdr:col>30</xdr:col>
      <xdr:colOff>446359</xdr:colOff>
      <xdr:row>25</xdr:row>
      <xdr:rowOff>174625</xdr:rowOff>
    </xdr:to>
    <xdr:sp macro="" textlink="pv!B9">
      <xdr:nvSpPr>
        <xdr:cNvPr id="41" name="Rectangle: Rounded Corners 40">
          <a:extLst>
            <a:ext uri="{FF2B5EF4-FFF2-40B4-BE49-F238E27FC236}">
              <a16:creationId xmlns:a16="http://schemas.microsoft.com/office/drawing/2014/main" id="{984FE0E6-372D-8B4F-28F7-B43CE36926C1}"/>
            </a:ext>
          </a:extLst>
        </xdr:cNvPr>
        <xdr:cNvSpPr/>
      </xdr:nvSpPr>
      <xdr:spPr>
        <a:xfrm>
          <a:off x="16435856" y="3576126"/>
          <a:ext cx="2181272" cy="994653"/>
        </a:xfrm>
        <a:prstGeom prst="roundRect">
          <a:avLst/>
        </a:prstGeom>
        <a:solidFill>
          <a:schemeClr val="tx2">
            <a:lumMod val="75000"/>
            <a:lumOff val="25000"/>
          </a:schemeClr>
        </a:solidFill>
        <a:ln>
          <a:solidFill>
            <a:schemeClr val="tx2">
              <a:lumMod val="25000"/>
              <a:lumOff val="75000"/>
            </a:schemeClr>
          </a:solidFill>
        </a:ln>
        <a:effectLst>
          <a:outerShdw blurRad="76200" dist="12700" dir="8100000" sy="-23000" kx="800400" algn="br" rotWithShape="0">
            <a:prstClr val="black">
              <a:alpha val="20000"/>
            </a:prstClr>
          </a:outerShd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4FAFD4C0-657F-4411-9E16-98C512C75988}" type="TxLink">
            <a:rPr lang="en-US" sz="3600" b="1" i="0" u="none" strike="noStrike">
              <a:solidFill>
                <a:schemeClr val="bg1"/>
              </a:solidFill>
              <a:latin typeface="Aptos Narrow"/>
              <a:ea typeface="+mn-ea"/>
              <a:cs typeface="+mn-cs"/>
            </a:rPr>
            <a:t>2100</a:t>
          </a:fld>
          <a:endParaRPr lang="en-US" sz="3600" b="1">
            <a:solidFill>
              <a:schemeClr val="bg1"/>
            </a:solidFill>
            <a:latin typeface="+mn-lt"/>
            <a:ea typeface="+mn-ea"/>
            <a:cs typeface="+mn-cs"/>
          </a:endParaRPr>
        </a:p>
      </xdr:txBody>
    </xdr:sp>
    <xdr:clientData/>
  </xdr:twoCellAnchor>
  <xdr:twoCellAnchor>
    <xdr:from>
      <xdr:col>37</xdr:col>
      <xdr:colOff>58405</xdr:colOff>
      <xdr:row>16</xdr:row>
      <xdr:rowOff>134511</xdr:rowOff>
    </xdr:from>
    <xdr:to>
      <xdr:col>41</xdr:col>
      <xdr:colOff>422082</xdr:colOff>
      <xdr:row>19</xdr:row>
      <xdr:rowOff>92841</xdr:rowOff>
    </xdr:to>
    <xdr:sp macro="" textlink="">
      <xdr:nvSpPr>
        <xdr:cNvPr id="43" name="Speech Bubble: Rectangle with Corners Rounded 42">
          <a:extLst>
            <a:ext uri="{FF2B5EF4-FFF2-40B4-BE49-F238E27FC236}">
              <a16:creationId xmlns:a16="http://schemas.microsoft.com/office/drawing/2014/main" id="{6A1B72D2-18D4-7559-959D-75674930E8BD}"/>
            </a:ext>
          </a:extLst>
        </xdr:cNvPr>
        <xdr:cNvSpPr/>
      </xdr:nvSpPr>
      <xdr:spPr>
        <a:xfrm>
          <a:off x="22469020" y="2948049"/>
          <a:ext cx="2786447" cy="485869"/>
        </a:xfrm>
        <a:prstGeom prst="roundRect">
          <a:avLst/>
        </a:prstGeom>
        <a:solidFill>
          <a:schemeClr val="bg1"/>
        </a:solidFill>
        <a:ln>
          <a:solidFill>
            <a:schemeClr val="tx2">
              <a:lumMod val="25000"/>
              <a:lumOff val="75000"/>
            </a:schemeClr>
          </a:solid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US" sz="3200" b="1">
              <a:solidFill>
                <a:schemeClr val="tx2">
                  <a:lumMod val="90000"/>
                  <a:lumOff val="10000"/>
                </a:schemeClr>
              </a:solidFill>
              <a:latin typeface="+mn-lt"/>
              <a:ea typeface="+mn-ea"/>
              <a:cs typeface="+mn-cs"/>
            </a:rPr>
            <a:t>View Hotel</a:t>
          </a:r>
        </a:p>
      </xdr:txBody>
    </xdr:sp>
    <xdr:clientData/>
  </xdr:twoCellAnchor>
  <xdr:twoCellAnchor>
    <xdr:from>
      <xdr:col>37</xdr:col>
      <xdr:colOff>53009</xdr:colOff>
      <xdr:row>20</xdr:row>
      <xdr:rowOff>25614</xdr:rowOff>
    </xdr:from>
    <xdr:to>
      <xdr:col>40</xdr:col>
      <xdr:colOff>413267</xdr:colOff>
      <xdr:row>25</xdr:row>
      <xdr:rowOff>125620</xdr:rowOff>
    </xdr:to>
    <xdr:sp macro="" textlink="pv!B11">
      <xdr:nvSpPr>
        <xdr:cNvPr id="44" name="Rectangle: Rounded Corners 43">
          <a:extLst>
            <a:ext uri="{FF2B5EF4-FFF2-40B4-BE49-F238E27FC236}">
              <a16:creationId xmlns:a16="http://schemas.microsoft.com/office/drawing/2014/main" id="{9B7FD3A3-C1A7-90F8-1F2D-AFC87AD56826}"/>
            </a:ext>
          </a:extLst>
        </xdr:cNvPr>
        <xdr:cNvSpPr/>
      </xdr:nvSpPr>
      <xdr:spPr>
        <a:xfrm>
          <a:off x="22463624" y="3542537"/>
          <a:ext cx="2177335" cy="979237"/>
        </a:xfrm>
        <a:prstGeom prst="roundRect">
          <a:avLst/>
        </a:prstGeom>
        <a:solidFill>
          <a:schemeClr val="tx2">
            <a:lumMod val="75000"/>
            <a:lumOff val="25000"/>
          </a:schemeClr>
        </a:solidFill>
        <a:ln>
          <a:solidFill>
            <a:schemeClr val="tx2">
              <a:lumMod val="25000"/>
              <a:lumOff val="75000"/>
            </a:schemeClr>
          </a:solidFill>
        </a:ln>
        <a:effectLst>
          <a:outerShdw blurRad="76200" dist="12700" dir="8100000" sy="-23000" kx="800400" algn="br" rotWithShape="0">
            <a:prstClr val="black">
              <a:alpha val="20000"/>
            </a:prstClr>
          </a:outerShd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F9BD90F7-B8B5-49C2-98EC-9FAE8D8CA3A6}" type="TxLink">
            <a:rPr lang="en-US" sz="3600" b="1" i="0" u="none" strike="noStrike">
              <a:solidFill>
                <a:schemeClr val="bg1"/>
              </a:solidFill>
              <a:latin typeface="Aptos Narrow"/>
              <a:ea typeface="+mn-ea"/>
              <a:cs typeface="+mn-cs"/>
            </a:rPr>
            <a:t>1764</a:t>
          </a:fld>
          <a:endParaRPr lang="en-US" sz="3600" b="1">
            <a:solidFill>
              <a:schemeClr val="bg1"/>
            </a:solidFill>
            <a:latin typeface="+mn-lt"/>
            <a:ea typeface="+mn-ea"/>
            <a:cs typeface="+mn-cs"/>
          </a:endParaRPr>
        </a:p>
      </xdr:txBody>
    </xdr:sp>
    <xdr:clientData/>
  </xdr:twoCellAnchor>
  <xdr:twoCellAnchor>
    <xdr:from>
      <xdr:col>17</xdr:col>
      <xdr:colOff>244456</xdr:colOff>
      <xdr:row>17</xdr:row>
      <xdr:rowOff>1296</xdr:rowOff>
    </xdr:from>
    <xdr:to>
      <xdr:col>21</xdr:col>
      <xdr:colOff>604796</xdr:colOff>
      <xdr:row>19</xdr:row>
      <xdr:rowOff>131026</xdr:rowOff>
    </xdr:to>
    <xdr:sp macro="" textlink="">
      <xdr:nvSpPr>
        <xdr:cNvPr id="46" name="Speech Bubble: Rectangle with Corners Rounded 45">
          <a:extLst>
            <a:ext uri="{FF2B5EF4-FFF2-40B4-BE49-F238E27FC236}">
              <a16:creationId xmlns:a16="http://schemas.microsoft.com/office/drawing/2014/main" id="{CE1716F9-7F29-F87C-B5E2-C141E65B9416}"/>
            </a:ext>
          </a:extLst>
        </xdr:cNvPr>
        <xdr:cNvSpPr/>
      </xdr:nvSpPr>
      <xdr:spPr>
        <a:xfrm>
          <a:off x="10541225" y="2990681"/>
          <a:ext cx="2783109" cy="481422"/>
        </a:xfrm>
        <a:prstGeom prst="roundRect">
          <a:avLst/>
        </a:prstGeom>
        <a:solidFill>
          <a:schemeClr val="bg1"/>
        </a:solidFill>
        <a:ln>
          <a:solidFill>
            <a:schemeClr val="tx2">
              <a:lumMod val="25000"/>
              <a:lumOff val="75000"/>
            </a:schemeClr>
          </a:solid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US" sz="3200" b="1">
              <a:solidFill>
                <a:schemeClr val="tx2">
                  <a:lumMod val="90000"/>
                  <a:lumOff val="10000"/>
                </a:schemeClr>
              </a:solidFill>
              <a:latin typeface="+mn-lt"/>
              <a:ea typeface="+mn-ea"/>
              <a:cs typeface="+mn-cs"/>
            </a:rPr>
            <a:t>Inn Eve</a:t>
          </a:r>
        </a:p>
      </xdr:txBody>
    </xdr:sp>
    <xdr:clientData/>
  </xdr:twoCellAnchor>
  <xdr:twoCellAnchor>
    <xdr:from>
      <xdr:col>17</xdr:col>
      <xdr:colOff>284531</xdr:colOff>
      <xdr:row>20</xdr:row>
      <xdr:rowOff>48216</xdr:rowOff>
    </xdr:from>
    <xdr:to>
      <xdr:col>21</xdr:col>
      <xdr:colOff>39002</xdr:colOff>
      <xdr:row>26</xdr:row>
      <xdr:rowOff>661</xdr:rowOff>
    </xdr:to>
    <xdr:sp macro="" textlink="pv!B7">
      <xdr:nvSpPr>
        <xdr:cNvPr id="47" name="Rectangle: Rounded Corners 46">
          <a:extLst>
            <a:ext uri="{FF2B5EF4-FFF2-40B4-BE49-F238E27FC236}">
              <a16:creationId xmlns:a16="http://schemas.microsoft.com/office/drawing/2014/main" id="{1819EE4B-03B1-4F82-87FF-E4CCE2FC320C}"/>
            </a:ext>
          </a:extLst>
        </xdr:cNvPr>
        <xdr:cNvSpPr/>
      </xdr:nvSpPr>
      <xdr:spPr>
        <a:xfrm>
          <a:off x="10581300" y="3565139"/>
          <a:ext cx="2177240" cy="1007522"/>
        </a:xfrm>
        <a:prstGeom prst="roundRect">
          <a:avLst/>
        </a:prstGeom>
        <a:solidFill>
          <a:schemeClr val="tx2">
            <a:lumMod val="75000"/>
            <a:lumOff val="25000"/>
          </a:schemeClr>
        </a:solidFill>
        <a:ln>
          <a:solidFill>
            <a:schemeClr val="tx2">
              <a:lumMod val="25000"/>
              <a:lumOff val="75000"/>
            </a:schemeClr>
          </a:solidFill>
        </a:ln>
        <a:effectLst>
          <a:outerShdw blurRad="76200" dist="12700" dir="8100000" sy="-23000" kx="800400" algn="br" rotWithShape="0">
            <a:prstClr val="black">
              <a:alpha val="20000"/>
            </a:prstClr>
          </a:outerShd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EFBE4FA6-3F6C-4731-8180-1744274E5E33}" type="TxLink">
            <a:rPr lang="en-US" sz="3600" b="1" i="0" u="none" strike="noStrike">
              <a:solidFill>
                <a:schemeClr val="bg1"/>
              </a:solidFill>
              <a:latin typeface="Aptos Narrow"/>
              <a:ea typeface="+mn-ea"/>
              <a:cs typeface="+mn-cs"/>
            </a:rPr>
            <a:t>589</a:t>
          </a:fld>
          <a:endParaRPr lang="en-US" sz="3600" b="1">
            <a:solidFill>
              <a:schemeClr val="bg1"/>
            </a:solidFill>
            <a:latin typeface="+mn-lt"/>
            <a:ea typeface="+mn-ea"/>
            <a:cs typeface="+mn-cs"/>
          </a:endParaRPr>
        </a:p>
      </xdr:txBody>
    </xdr:sp>
    <xdr:clientData/>
  </xdr:twoCellAnchor>
  <xdr:twoCellAnchor>
    <xdr:from>
      <xdr:col>22</xdr:col>
      <xdr:colOff>141940</xdr:colOff>
      <xdr:row>17</xdr:row>
      <xdr:rowOff>1932</xdr:rowOff>
    </xdr:from>
    <xdr:to>
      <xdr:col>26</xdr:col>
      <xdr:colOff>527325</xdr:colOff>
      <xdr:row>19</xdr:row>
      <xdr:rowOff>131990</xdr:rowOff>
    </xdr:to>
    <xdr:sp macro="" textlink="">
      <xdr:nvSpPr>
        <xdr:cNvPr id="49" name="Speech Bubble: Rectangle with Corners Rounded 48">
          <a:extLst>
            <a:ext uri="{FF2B5EF4-FFF2-40B4-BE49-F238E27FC236}">
              <a16:creationId xmlns:a16="http://schemas.microsoft.com/office/drawing/2014/main" id="{3FE01849-B555-3E6C-866D-7DA3030DAF79}"/>
            </a:ext>
          </a:extLst>
        </xdr:cNvPr>
        <xdr:cNvSpPr/>
      </xdr:nvSpPr>
      <xdr:spPr>
        <a:xfrm>
          <a:off x="13467171" y="2991317"/>
          <a:ext cx="2808154" cy="481750"/>
        </a:xfrm>
        <a:prstGeom prst="roundRect">
          <a:avLst/>
        </a:prstGeom>
        <a:solidFill>
          <a:schemeClr val="bg1"/>
        </a:solidFill>
        <a:ln>
          <a:solidFill>
            <a:schemeClr val="tx2">
              <a:lumMod val="25000"/>
              <a:lumOff val="75000"/>
            </a:schemeClr>
          </a:solid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US" sz="3200" b="1">
              <a:solidFill>
                <a:schemeClr val="tx2">
                  <a:lumMod val="90000"/>
                  <a:lumOff val="10000"/>
                </a:schemeClr>
              </a:solidFill>
              <a:latin typeface="+mn-lt"/>
              <a:ea typeface="+mn-ea"/>
              <a:cs typeface="+mn-cs"/>
            </a:rPr>
            <a:t>Marine Resort</a:t>
          </a:r>
        </a:p>
      </xdr:txBody>
    </xdr:sp>
    <xdr:clientData/>
  </xdr:twoCellAnchor>
  <xdr:twoCellAnchor>
    <xdr:from>
      <xdr:col>22</xdr:col>
      <xdr:colOff>106322</xdr:colOff>
      <xdr:row>20</xdr:row>
      <xdr:rowOff>63842</xdr:rowOff>
    </xdr:from>
    <xdr:to>
      <xdr:col>25</xdr:col>
      <xdr:colOff>414211</xdr:colOff>
      <xdr:row>26</xdr:row>
      <xdr:rowOff>31749</xdr:rowOff>
    </xdr:to>
    <xdr:sp macro="" textlink="pv!B8">
      <xdr:nvSpPr>
        <xdr:cNvPr id="50" name="Rectangle: Rounded Corners 49">
          <a:extLst>
            <a:ext uri="{FF2B5EF4-FFF2-40B4-BE49-F238E27FC236}">
              <a16:creationId xmlns:a16="http://schemas.microsoft.com/office/drawing/2014/main" id="{EE9880AB-C037-C4D5-2312-883E6538DD09}"/>
            </a:ext>
          </a:extLst>
        </xdr:cNvPr>
        <xdr:cNvSpPr/>
      </xdr:nvSpPr>
      <xdr:spPr>
        <a:xfrm>
          <a:off x="13431553" y="3580765"/>
          <a:ext cx="2124966" cy="1022984"/>
        </a:xfrm>
        <a:prstGeom prst="roundRect">
          <a:avLst/>
        </a:prstGeom>
        <a:solidFill>
          <a:schemeClr val="tx2">
            <a:lumMod val="75000"/>
            <a:lumOff val="25000"/>
          </a:schemeClr>
        </a:solidFill>
        <a:ln>
          <a:solidFill>
            <a:schemeClr val="tx2">
              <a:lumMod val="25000"/>
              <a:lumOff val="75000"/>
            </a:schemeClr>
          </a:solidFill>
        </a:ln>
        <a:effectLst>
          <a:outerShdw blurRad="76200" dist="12700" dir="8100000" sy="-23000" kx="800400" algn="br" rotWithShape="0">
            <a:prstClr val="black">
              <a:alpha val="20000"/>
            </a:prstClr>
          </a:outerShd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EE959503-AC14-4FC4-9371-533E88B4E484}" type="TxLink">
            <a:rPr lang="en-US" sz="3600" b="1" i="0" u="none" strike="noStrike">
              <a:solidFill>
                <a:schemeClr val="bg1"/>
              </a:solidFill>
              <a:latin typeface="Aptos Narrow"/>
              <a:ea typeface="+mn-ea"/>
              <a:cs typeface="+mn-cs"/>
            </a:rPr>
            <a:t>3348</a:t>
          </a:fld>
          <a:endParaRPr lang="en-US" sz="3600" b="1">
            <a:solidFill>
              <a:schemeClr val="bg1"/>
            </a:solidFill>
            <a:latin typeface="+mn-lt"/>
            <a:ea typeface="+mn-ea"/>
            <a:cs typeface="+mn-cs"/>
          </a:endParaRPr>
        </a:p>
      </xdr:txBody>
    </xdr:sp>
    <xdr:clientData/>
  </xdr:twoCellAnchor>
  <xdr:twoCellAnchor>
    <xdr:from>
      <xdr:col>17</xdr:col>
      <xdr:colOff>291041</xdr:colOff>
      <xdr:row>2</xdr:row>
      <xdr:rowOff>162348</xdr:rowOff>
    </xdr:from>
    <xdr:to>
      <xdr:col>23</xdr:col>
      <xdr:colOff>132292</xdr:colOff>
      <xdr:row>13</xdr:row>
      <xdr:rowOff>42333</xdr:rowOff>
    </xdr:to>
    <xdr:grpSp>
      <xdr:nvGrpSpPr>
        <xdr:cNvPr id="51" name="Group 50">
          <a:extLst>
            <a:ext uri="{FF2B5EF4-FFF2-40B4-BE49-F238E27FC236}">
              <a16:creationId xmlns:a16="http://schemas.microsoft.com/office/drawing/2014/main" id="{9714B554-5C86-470D-913C-2952F10B58E4}"/>
            </a:ext>
          </a:extLst>
        </xdr:cNvPr>
        <xdr:cNvGrpSpPr/>
      </xdr:nvGrpSpPr>
      <xdr:grpSpPr>
        <a:xfrm>
          <a:off x="10587810" y="514040"/>
          <a:ext cx="3475405" cy="1814293"/>
          <a:chOff x="837230" y="2952385"/>
          <a:chExt cx="3492385" cy="1314816"/>
        </a:xfrm>
      </xdr:grpSpPr>
      <xdr:sp macro="" textlink="">
        <xdr:nvSpPr>
          <xdr:cNvPr id="52" name="Speech Bubble: Rectangle with Corners Rounded 51">
            <a:extLst>
              <a:ext uri="{FF2B5EF4-FFF2-40B4-BE49-F238E27FC236}">
                <a16:creationId xmlns:a16="http://schemas.microsoft.com/office/drawing/2014/main" id="{A83AB17C-EDC4-5368-E10D-FEE999CBF817}"/>
              </a:ext>
            </a:extLst>
          </xdr:cNvPr>
          <xdr:cNvSpPr/>
        </xdr:nvSpPr>
        <xdr:spPr>
          <a:xfrm>
            <a:off x="837230" y="2952385"/>
            <a:ext cx="3492385" cy="547905"/>
          </a:xfrm>
          <a:prstGeom prst="wedgeRoundRectCallout">
            <a:avLst/>
          </a:prstGeom>
          <a:solidFill>
            <a:schemeClr val="bg1"/>
          </a:solidFill>
          <a:ln>
            <a:solidFill>
              <a:schemeClr val="tx2">
                <a:lumMod val="25000"/>
                <a:lumOff val="75000"/>
              </a:schemeClr>
            </a:solid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US" sz="3200" b="1">
                <a:solidFill>
                  <a:schemeClr val="tx2">
                    <a:lumMod val="90000"/>
                    <a:lumOff val="10000"/>
                  </a:schemeClr>
                </a:solidFill>
                <a:latin typeface="+mn-lt"/>
                <a:ea typeface="+mn-ea"/>
                <a:cs typeface="+mn-cs"/>
              </a:rPr>
              <a:t>Hotel</a:t>
            </a:r>
            <a:r>
              <a:rPr lang="en-US" sz="3200" b="1" baseline="0">
                <a:solidFill>
                  <a:schemeClr val="tx2">
                    <a:lumMod val="90000"/>
                    <a:lumOff val="10000"/>
                  </a:schemeClr>
                </a:solidFill>
                <a:latin typeface="+mn-lt"/>
                <a:ea typeface="+mn-ea"/>
                <a:cs typeface="+mn-cs"/>
              </a:rPr>
              <a:t> Count</a:t>
            </a:r>
            <a:endParaRPr lang="en-US" sz="3200" b="1">
              <a:solidFill>
                <a:schemeClr val="tx2">
                  <a:lumMod val="90000"/>
                  <a:lumOff val="10000"/>
                </a:schemeClr>
              </a:solidFill>
              <a:latin typeface="+mn-lt"/>
              <a:ea typeface="+mn-ea"/>
              <a:cs typeface="+mn-cs"/>
            </a:endParaRPr>
          </a:p>
        </xdr:txBody>
      </xdr:sp>
      <xdr:sp macro="" textlink="pv!A40">
        <xdr:nvSpPr>
          <xdr:cNvPr id="53" name="Rectangle: Rounded Corners 52">
            <a:extLst>
              <a:ext uri="{FF2B5EF4-FFF2-40B4-BE49-F238E27FC236}">
                <a16:creationId xmlns:a16="http://schemas.microsoft.com/office/drawing/2014/main" id="{B4F08A71-1C81-CF68-1DAE-CEDDEF97FAD5}"/>
              </a:ext>
            </a:extLst>
          </xdr:cNvPr>
          <xdr:cNvSpPr/>
        </xdr:nvSpPr>
        <xdr:spPr>
          <a:xfrm>
            <a:off x="1219199" y="3587151"/>
            <a:ext cx="2484120" cy="680050"/>
          </a:xfrm>
          <a:prstGeom prst="roundRect">
            <a:avLst/>
          </a:prstGeom>
          <a:solidFill>
            <a:schemeClr val="tx2">
              <a:lumMod val="75000"/>
              <a:lumOff val="25000"/>
            </a:schemeClr>
          </a:solidFill>
          <a:ln>
            <a:solidFill>
              <a:schemeClr val="tx2">
                <a:lumMod val="25000"/>
                <a:lumOff val="75000"/>
              </a:schemeClr>
            </a:solidFill>
          </a:ln>
          <a:effectLst>
            <a:outerShdw blurRad="76200" dist="12700" dir="8100000" sy="-23000" kx="800400" algn="br" rotWithShape="0">
              <a:prstClr val="black">
                <a:alpha val="20000"/>
              </a:prstClr>
            </a:outerShd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D80E3FD4-DFED-4FC0-8EFF-61B2F324B0F9}" type="TxLink">
              <a:rPr lang="en-US" sz="3600" b="1" i="0" u="none" strike="noStrike">
                <a:solidFill>
                  <a:schemeClr val="bg1"/>
                </a:solidFill>
                <a:latin typeface="Aptos Narrow"/>
                <a:ea typeface="+mn-ea"/>
                <a:cs typeface="+mn-cs"/>
              </a:rPr>
              <a:t>140</a:t>
            </a:fld>
            <a:endParaRPr lang="en-US" sz="3600" b="1">
              <a:solidFill>
                <a:schemeClr val="bg1"/>
              </a:solidFill>
              <a:latin typeface="+mn-lt"/>
              <a:ea typeface="+mn-ea"/>
              <a:cs typeface="+mn-cs"/>
            </a:endParaRPr>
          </a:p>
        </xdr:txBody>
      </xdr:sp>
    </xdr:grpSp>
    <xdr:clientData/>
  </xdr:twoCellAnchor>
  <xdr:twoCellAnchor>
    <xdr:from>
      <xdr:col>23</xdr:col>
      <xdr:colOff>324463</xdr:colOff>
      <xdr:row>3</xdr:row>
      <xdr:rowOff>4810</xdr:rowOff>
    </xdr:from>
    <xdr:to>
      <xdr:col>28</xdr:col>
      <xdr:colOff>290517</xdr:colOff>
      <xdr:row>13</xdr:row>
      <xdr:rowOff>76201</xdr:rowOff>
    </xdr:to>
    <xdr:grpSp>
      <xdr:nvGrpSpPr>
        <xdr:cNvPr id="54" name="Group 53">
          <a:extLst>
            <a:ext uri="{FF2B5EF4-FFF2-40B4-BE49-F238E27FC236}">
              <a16:creationId xmlns:a16="http://schemas.microsoft.com/office/drawing/2014/main" id="{B307D31D-6650-4AF9-AC4C-54CBF84276C9}"/>
            </a:ext>
          </a:extLst>
        </xdr:cNvPr>
        <xdr:cNvGrpSpPr/>
      </xdr:nvGrpSpPr>
      <xdr:grpSpPr>
        <a:xfrm>
          <a:off x="14255386" y="532348"/>
          <a:ext cx="2994516" cy="1829853"/>
          <a:chOff x="1208600" y="2971800"/>
          <a:chExt cx="3009565" cy="1295401"/>
        </a:xfrm>
      </xdr:grpSpPr>
      <xdr:sp macro="" textlink="">
        <xdr:nvSpPr>
          <xdr:cNvPr id="55" name="Speech Bubble: Rectangle with Corners Rounded 54">
            <a:extLst>
              <a:ext uri="{FF2B5EF4-FFF2-40B4-BE49-F238E27FC236}">
                <a16:creationId xmlns:a16="http://schemas.microsoft.com/office/drawing/2014/main" id="{CBD1019F-3712-1B7A-FA93-4C9815896344}"/>
              </a:ext>
            </a:extLst>
          </xdr:cNvPr>
          <xdr:cNvSpPr/>
        </xdr:nvSpPr>
        <xdr:spPr>
          <a:xfrm>
            <a:off x="1208600" y="2971800"/>
            <a:ext cx="3009565" cy="502920"/>
          </a:xfrm>
          <a:prstGeom prst="wedgeRoundRectCallout">
            <a:avLst/>
          </a:prstGeom>
          <a:solidFill>
            <a:schemeClr val="bg1"/>
          </a:solidFill>
          <a:ln>
            <a:solidFill>
              <a:schemeClr val="tx2">
                <a:lumMod val="25000"/>
                <a:lumOff val="75000"/>
              </a:schemeClr>
            </a:solid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US" sz="3200" b="1">
                <a:solidFill>
                  <a:schemeClr val="tx2">
                    <a:lumMod val="90000"/>
                    <a:lumOff val="10000"/>
                  </a:schemeClr>
                </a:solidFill>
                <a:latin typeface="+mn-lt"/>
                <a:ea typeface="+mn-ea"/>
                <a:cs typeface="+mn-cs"/>
              </a:rPr>
              <a:t>Profits</a:t>
            </a:r>
          </a:p>
        </xdr:txBody>
      </xdr:sp>
      <xdr:sp macro="" textlink="pv!A43">
        <xdr:nvSpPr>
          <xdr:cNvPr id="56" name="Rectangle: Rounded Corners 55">
            <a:extLst>
              <a:ext uri="{FF2B5EF4-FFF2-40B4-BE49-F238E27FC236}">
                <a16:creationId xmlns:a16="http://schemas.microsoft.com/office/drawing/2014/main" id="{6E4FBA95-60D0-992B-976D-6C7AAB7C1643}"/>
              </a:ext>
            </a:extLst>
          </xdr:cNvPr>
          <xdr:cNvSpPr/>
        </xdr:nvSpPr>
        <xdr:spPr>
          <a:xfrm>
            <a:off x="1219200" y="3587151"/>
            <a:ext cx="2484120" cy="680050"/>
          </a:xfrm>
          <a:prstGeom prst="roundRect">
            <a:avLst/>
          </a:prstGeom>
          <a:solidFill>
            <a:schemeClr val="tx2">
              <a:lumMod val="75000"/>
              <a:lumOff val="25000"/>
            </a:schemeClr>
          </a:solidFill>
          <a:ln>
            <a:solidFill>
              <a:schemeClr val="tx2">
                <a:lumMod val="25000"/>
                <a:lumOff val="75000"/>
              </a:schemeClr>
            </a:solidFill>
          </a:ln>
          <a:effectLst>
            <a:outerShdw blurRad="76200" dist="12700" dir="8100000" sy="-23000" kx="800400" algn="br" rotWithShape="0">
              <a:prstClr val="black">
                <a:alpha val="20000"/>
              </a:prstClr>
            </a:outerShd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8DAC4338-6577-4E0D-816D-0E919F37E376}" type="TxLink">
              <a:rPr lang="en-US" sz="3600" b="1" i="0" u="none" strike="noStrike">
                <a:solidFill>
                  <a:schemeClr val="bg1"/>
                </a:solidFill>
                <a:latin typeface="Aptos Narrow"/>
                <a:ea typeface="+mn-ea"/>
                <a:cs typeface="+mn-cs"/>
              </a:rPr>
              <a:t>11M</a:t>
            </a:fld>
            <a:endParaRPr lang="en-US" sz="3600" b="1">
              <a:solidFill>
                <a:schemeClr val="bg1"/>
              </a:solidFill>
              <a:latin typeface="+mn-lt"/>
              <a:ea typeface="+mn-ea"/>
              <a:cs typeface="+mn-cs"/>
            </a:endParaRPr>
          </a:p>
        </xdr:txBody>
      </xdr:sp>
    </xdr:grpSp>
    <xdr:clientData/>
  </xdr:twoCellAnchor>
  <xdr:twoCellAnchor>
    <xdr:from>
      <xdr:col>28</xdr:col>
      <xdr:colOff>446020</xdr:colOff>
      <xdr:row>3</xdr:row>
      <xdr:rowOff>9345</xdr:rowOff>
    </xdr:from>
    <xdr:to>
      <xdr:col>33</xdr:col>
      <xdr:colOff>412074</xdr:colOff>
      <xdr:row>13</xdr:row>
      <xdr:rowOff>71362</xdr:rowOff>
    </xdr:to>
    <xdr:grpSp>
      <xdr:nvGrpSpPr>
        <xdr:cNvPr id="57" name="Group 56">
          <a:extLst>
            <a:ext uri="{FF2B5EF4-FFF2-40B4-BE49-F238E27FC236}">
              <a16:creationId xmlns:a16="http://schemas.microsoft.com/office/drawing/2014/main" id="{506AC1C0-AB0C-457C-BFFD-399657990F38}"/>
            </a:ext>
          </a:extLst>
        </xdr:cNvPr>
        <xdr:cNvGrpSpPr/>
      </xdr:nvGrpSpPr>
      <xdr:grpSpPr>
        <a:xfrm>
          <a:off x="17405405" y="536883"/>
          <a:ext cx="2994515" cy="1820479"/>
          <a:chOff x="1208600" y="2971800"/>
          <a:chExt cx="3009565" cy="1295401"/>
        </a:xfrm>
      </xdr:grpSpPr>
      <xdr:sp macro="" textlink="">
        <xdr:nvSpPr>
          <xdr:cNvPr id="58" name="Speech Bubble: Rectangle with Corners Rounded 57">
            <a:extLst>
              <a:ext uri="{FF2B5EF4-FFF2-40B4-BE49-F238E27FC236}">
                <a16:creationId xmlns:a16="http://schemas.microsoft.com/office/drawing/2014/main" id="{CD1A2A62-E757-9A9F-4B0F-D8F531C47447}"/>
              </a:ext>
            </a:extLst>
          </xdr:cNvPr>
          <xdr:cNvSpPr/>
        </xdr:nvSpPr>
        <xdr:spPr>
          <a:xfrm>
            <a:off x="1208600" y="2971800"/>
            <a:ext cx="3009565" cy="502920"/>
          </a:xfrm>
          <a:prstGeom prst="wedgeRoundRectCallout">
            <a:avLst/>
          </a:prstGeom>
          <a:solidFill>
            <a:schemeClr val="bg1"/>
          </a:solidFill>
          <a:ln>
            <a:solidFill>
              <a:schemeClr val="tx2">
                <a:lumMod val="25000"/>
                <a:lumOff val="75000"/>
              </a:schemeClr>
            </a:solid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US" sz="3200" b="1">
                <a:solidFill>
                  <a:schemeClr val="tx2">
                    <a:lumMod val="90000"/>
                    <a:lumOff val="10000"/>
                  </a:schemeClr>
                </a:solidFill>
                <a:latin typeface="+mn-lt"/>
                <a:ea typeface="+mn-ea"/>
                <a:cs typeface="+mn-cs"/>
              </a:rPr>
              <a:t>Rooms</a:t>
            </a:r>
          </a:p>
        </xdr:txBody>
      </xdr:sp>
      <xdr:sp macro="" textlink="pv!A49">
        <xdr:nvSpPr>
          <xdr:cNvPr id="59" name="Rectangle: Rounded Corners 58">
            <a:extLst>
              <a:ext uri="{FF2B5EF4-FFF2-40B4-BE49-F238E27FC236}">
                <a16:creationId xmlns:a16="http://schemas.microsoft.com/office/drawing/2014/main" id="{4D2D7F94-BB2A-E167-89B6-FE58F09C3EE6}"/>
              </a:ext>
            </a:extLst>
          </xdr:cNvPr>
          <xdr:cNvSpPr/>
        </xdr:nvSpPr>
        <xdr:spPr>
          <a:xfrm>
            <a:off x="1219200" y="3587151"/>
            <a:ext cx="2484120" cy="680050"/>
          </a:xfrm>
          <a:prstGeom prst="roundRect">
            <a:avLst/>
          </a:prstGeom>
          <a:solidFill>
            <a:schemeClr val="tx2">
              <a:lumMod val="75000"/>
              <a:lumOff val="25000"/>
            </a:schemeClr>
          </a:solidFill>
          <a:ln>
            <a:solidFill>
              <a:schemeClr val="tx2">
                <a:lumMod val="25000"/>
                <a:lumOff val="75000"/>
              </a:schemeClr>
            </a:solidFill>
          </a:ln>
          <a:effectLst>
            <a:outerShdw blurRad="76200" dist="12700" dir="8100000" sy="-23000" kx="800400" algn="br" rotWithShape="0">
              <a:prstClr val="black">
                <a:alpha val="20000"/>
              </a:prstClr>
            </a:outerShd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D84CC9D6-A41F-48B6-90AD-1393CF83C63D}" type="TxLink">
              <a:rPr lang="en-US" sz="3600" b="1" i="0" u="none" strike="noStrike">
                <a:solidFill>
                  <a:schemeClr val="bg1"/>
                </a:solidFill>
                <a:latin typeface="Aptos Narrow"/>
                <a:ea typeface="+mn-ea"/>
                <a:cs typeface="+mn-cs"/>
              </a:rPr>
              <a:t>15K</a:t>
            </a:fld>
            <a:endParaRPr lang="en-US" sz="3600" b="1">
              <a:solidFill>
                <a:schemeClr val="bg1"/>
              </a:solidFill>
              <a:latin typeface="+mn-lt"/>
              <a:ea typeface="+mn-ea"/>
              <a:cs typeface="+mn-cs"/>
            </a:endParaRPr>
          </a:p>
        </xdr:txBody>
      </xdr:sp>
    </xdr:grpSp>
    <xdr:clientData/>
  </xdr:twoCellAnchor>
  <xdr:twoCellAnchor>
    <xdr:from>
      <xdr:col>33</xdr:col>
      <xdr:colOff>603862</xdr:colOff>
      <xdr:row>3</xdr:row>
      <xdr:rowOff>18869</xdr:rowOff>
    </xdr:from>
    <xdr:to>
      <xdr:col>38</xdr:col>
      <xdr:colOff>569916</xdr:colOff>
      <xdr:row>13</xdr:row>
      <xdr:rowOff>71362</xdr:rowOff>
    </xdr:to>
    <xdr:grpSp>
      <xdr:nvGrpSpPr>
        <xdr:cNvPr id="60" name="Group 59">
          <a:extLst>
            <a:ext uri="{FF2B5EF4-FFF2-40B4-BE49-F238E27FC236}">
              <a16:creationId xmlns:a16="http://schemas.microsoft.com/office/drawing/2014/main" id="{10909892-F8A7-49AC-8330-C2687EB21114}"/>
            </a:ext>
          </a:extLst>
        </xdr:cNvPr>
        <xdr:cNvGrpSpPr/>
      </xdr:nvGrpSpPr>
      <xdr:grpSpPr>
        <a:xfrm>
          <a:off x="20591708" y="546407"/>
          <a:ext cx="2994516" cy="1810955"/>
          <a:chOff x="1208600" y="2971800"/>
          <a:chExt cx="3009565" cy="1295401"/>
        </a:xfrm>
      </xdr:grpSpPr>
      <xdr:sp macro="" textlink="">
        <xdr:nvSpPr>
          <xdr:cNvPr id="61" name="Speech Bubble: Rectangle with Corners Rounded 60">
            <a:extLst>
              <a:ext uri="{FF2B5EF4-FFF2-40B4-BE49-F238E27FC236}">
                <a16:creationId xmlns:a16="http://schemas.microsoft.com/office/drawing/2014/main" id="{107B07D8-94EC-BCBA-E2C4-3BA1D348D5F0}"/>
              </a:ext>
            </a:extLst>
          </xdr:cNvPr>
          <xdr:cNvSpPr/>
        </xdr:nvSpPr>
        <xdr:spPr>
          <a:xfrm>
            <a:off x="1208600" y="2971800"/>
            <a:ext cx="3009565" cy="502920"/>
          </a:xfrm>
          <a:prstGeom prst="wedgeRoundRectCallout">
            <a:avLst/>
          </a:prstGeom>
          <a:solidFill>
            <a:schemeClr val="bg1"/>
          </a:solidFill>
          <a:ln>
            <a:solidFill>
              <a:schemeClr val="tx2">
                <a:lumMod val="25000"/>
                <a:lumOff val="75000"/>
              </a:schemeClr>
            </a:solid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US" sz="3200" b="1">
                <a:solidFill>
                  <a:schemeClr val="tx2">
                    <a:lumMod val="90000"/>
                    <a:lumOff val="10000"/>
                  </a:schemeClr>
                </a:solidFill>
                <a:latin typeface="+mn-lt"/>
                <a:ea typeface="+mn-ea"/>
                <a:cs typeface="+mn-cs"/>
              </a:rPr>
              <a:t>Bookings</a:t>
            </a:r>
          </a:p>
        </xdr:txBody>
      </xdr:sp>
      <xdr:sp macro="" textlink="pv!A52">
        <xdr:nvSpPr>
          <xdr:cNvPr id="62" name="Rectangle: Rounded Corners 61">
            <a:extLst>
              <a:ext uri="{FF2B5EF4-FFF2-40B4-BE49-F238E27FC236}">
                <a16:creationId xmlns:a16="http://schemas.microsoft.com/office/drawing/2014/main" id="{C3A76A9E-6093-AE88-53EF-8944D9EB9E95}"/>
              </a:ext>
            </a:extLst>
          </xdr:cNvPr>
          <xdr:cNvSpPr/>
        </xdr:nvSpPr>
        <xdr:spPr>
          <a:xfrm>
            <a:off x="1219200" y="3587151"/>
            <a:ext cx="2484120" cy="680050"/>
          </a:xfrm>
          <a:prstGeom prst="roundRect">
            <a:avLst/>
          </a:prstGeom>
          <a:solidFill>
            <a:schemeClr val="tx2">
              <a:lumMod val="75000"/>
              <a:lumOff val="25000"/>
            </a:schemeClr>
          </a:solidFill>
          <a:ln>
            <a:solidFill>
              <a:schemeClr val="tx2">
                <a:lumMod val="25000"/>
                <a:lumOff val="75000"/>
              </a:schemeClr>
            </a:solidFill>
          </a:ln>
          <a:effectLst>
            <a:outerShdw blurRad="76200" dist="12700" dir="8100000" sy="-23000" kx="800400" algn="br" rotWithShape="0">
              <a:prstClr val="black">
                <a:alpha val="20000"/>
              </a:prstClr>
            </a:outerShd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410C6A8A-1758-403E-AB89-176F827A72C2}" type="TxLink">
              <a:rPr lang="en-US" sz="3600" b="1" i="0" u="none" strike="noStrike">
                <a:solidFill>
                  <a:schemeClr val="bg1"/>
                </a:solidFill>
                <a:latin typeface="Aptos Narrow"/>
                <a:ea typeface="+mn-ea"/>
                <a:cs typeface="+mn-cs"/>
              </a:rPr>
              <a:t>3370</a:t>
            </a:fld>
            <a:endParaRPr lang="en-US" sz="3600" b="1">
              <a:solidFill>
                <a:schemeClr val="bg1"/>
              </a:solidFill>
              <a:latin typeface="+mn-lt"/>
              <a:ea typeface="+mn-ea"/>
              <a:cs typeface="+mn-cs"/>
            </a:endParaRPr>
          </a:p>
        </xdr:txBody>
      </xdr:sp>
    </xdr:grpSp>
    <xdr:clientData/>
  </xdr:twoCellAnchor>
  <xdr:twoCellAnchor editAs="oneCell">
    <xdr:from>
      <xdr:col>2</xdr:col>
      <xdr:colOff>492125</xdr:colOff>
      <xdr:row>10</xdr:row>
      <xdr:rowOff>95250</xdr:rowOff>
    </xdr:from>
    <xdr:to>
      <xdr:col>4</xdr:col>
      <xdr:colOff>174625</xdr:colOff>
      <xdr:row>15</xdr:row>
      <xdr:rowOff>31750</xdr:rowOff>
    </xdr:to>
    <xdr:pic>
      <xdr:nvPicPr>
        <xdr:cNvPr id="66" name="Graphic 65" descr="Checklist with solid fill">
          <a:extLst>
            <a:ext uri="{FF2B5EF4-FFF2-40B4-BE49-F238E27FC236}">
              <a16:creationId xmlns:a16="http://schemas.microsoft.com/office/drawing/2014/main" id="{0AF81AF5-2478-250C-E743-6DBD33275834}"/>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698625" y="2000250"/>
          <a:ext cx="889000" cy="889000"/>
        </a:xfrm>
        <a:prstGeom prst="rect">
          <a:avLst/>
        </a:prstGeom>
      </xdr:spPr>
    </xdr:pic>
    <xdr:clientData/>
  </xdr:twoCellAnchor>
  <xdr:twoCellAnchor editAs="oneCell">
    <xdr:from>
      <xdr:col>17</xdr:col>
      <xdr:colOff>305603</xdr:colOff>
      <xdr:row>3</xdr:row>
      <xdr:rowOff>73479</xdr:rowOff>
    </xdr:from>
    <xdr:to>
      <xdr:col>18</xdr:col>
      <xdr:colOff>400853</xdr:colOff>
      <xdr:row>7</xdr:row>
      <xdr:rowOff>9979</xdr:rowOff>
    </xdr:to>
    <xdr:pic>
      <xdr:nvPicPr>
        <xdr:cNvPr id="68" name="Graphic 67" descr="Business Growth with solid fill">
          <a:extLst>
            <a:ext uri="{FF2B5EF4-FFF2-40B4-BE49-F238E27FC236}">
              <a16:creationId xmlns:a16="http://schemas.microsoft.com/office/drawing/2014/main" id="{EDB011A0-7531-AAF3-A1EC-C872FC237328}"/>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0602372" y="601017"/>
          <a:ext cx="700943" cy="639885"/>
        </a:xfrm>
        <a:prstGeom prst="rect">
          <a:avLst/>
        </a:prstGeom>
      </xdr:spPr>
    </xdr:pic>
    <xdr:clientData/>
  </xdr:twoCellAnchor>
  <xdr:twoCellAnchor editAs="oneCell">
    <xdr:from>
      <xdr:col>23</xdr:col>
      <xdr:colOff>547007</xdr:colOff>
      <xdr:row>3</xdr:row>
      <xdr:rowOff>26761</xdr:rowOff>
    </xdr:from>
    <xdr:to>
      <xdr:col>25</xdr:col>
      <xdr:colOff>16782</xdr:colOff>
      <xdr:row>6</xdr:row>
      <xdr:rowOff>137886</xdr:rowOff>
    </xdr:to>
    <xdr:pic>
      <xdr:nvPicPr>
        <xdr:cNvPr id="70" name="Graphic 69" descr="Coins with solid fill">
          <a:extLst>
            <a:ext uri="{FF2B5EF4-FFF2-40B4-BE49-F238E27FC236}">
              <a16:creationId xmlns:a16="http://schemas.microsoft.com/office/drawing/2014/main" id="{41ACC0F5-B286-9731-7D07-59A28FAE40A4}"/>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4567807" y="581932"/>
          <a:ext cx="688975" cy="666297"/>
        </a:xfrm>
        <a:prstGeom prst="rect">
          <a:avLst/>
        </a:prstGeom>
      </xdr:spPr>
    </xdr:pic>
    <xdr:clientData/>
  </xdr:twoCellAnchor>
  <xdr:twoCellAnchor editAs="oneCell">
    <xdr:from>
      <xdr:col>34</xdr:col>
      <xdr:colOff>53068</xdr:colOff>
      <xdr:row>3</xdr:row>
      <xdr:rowOff>48532</xdr:rowOff>
    </xdr:from>
    <xdr:to>
      <xdr:col>35</xdr:col>
      <xdr:colOff>68943</xdr:colOff>
      <xdr:row>6</xdr:row>
      <xdr:rowOff>96157</xdr:rowOff>
    </xdr:to>
    <xdr:pic>
      <xdr:nvPicPr>
        <xdr:cNvPr id="74" name="Graphic 73" descr="Call center with solid fill">
          <a:extLst>
            <a:ext uri="{FF2B5EF4-FFF2-40B4-BE49-F238E27FC236}">
              <a16:creationId xmlns:a16="http://schemas.microsoft.com/office/drawing/2014/main" id="{7C7F6B31-6C7D-25FC-4A0B-3BCEE0FB41B9}"/>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20779468" y="603703"/>
          <a:ext cx="625475" cy="602797"/>
        </a:xfrm>
        <a:prstGeom prst="rect">
          <a:avLst/>
        </a:prstGeom>
      </xdr:spPr>
    </xdr:pic>
    <xdr:clientData/>
  </xdr:twoCellAnchor>
  <xdr:twoCellAnchor editAs="oneCell">
    <xdr:from>
      <xdr:col>28</xdr:col>
      <xdr:colOff>535214</xdr:colOff>
      <xdr:row>2</xdr:row>
      <xdr:rowOff>170543</xdr:rowOff>
    </xdr:from>
    <xdr:to>
      <xdr:col>30</xdr:col>
      <xdr:colOff>36739</xdr:colOff>
      <xdr:row>6</xdr:row>
      <xdr:rowOff>122918</xdr:rowOff>
    </xdr:to>
    <xdr:pic>
      <xdr:nvPicPr>
        <xdr:cNvPr id="76" name="Graphic 75" descr="House with solid fill">
          <a:extLst>
            <a:ext uri="{FF2B5EF4-FFF2-40B4-BE49-F238E27FC236}">
              <a16:creationId xmlns:a16="http://schemas.microsoft.com/office/drawing/2014/main" id="{61B22F90-0C94-D879-7095-82078C91B2CB}"/>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7604014" y="540657"/>
          <a:ext cx="720725" cy="692604"/>
        </a:xfrm>
        <a:prstGeom prst="rect">
          <a:avLst/>
        </a:prstGeom>
      </xdr:spPr>
    </xdr:pic>
    <xdr:clientData/>
  </xdr:twoCellAnchor>
  <xdr:twoCellAnchor>
    <xdr:from>
      <xdr:col>1</xdr:col>
      <xdr:colOff>244230</xdr:colOff>
      <xdr:row>27</xdr:row>
      <xdr:rowOff>79373</xdr:rowOff>
    </xdr:from>
    <xdr:to>
      <xdr:col>13</xdr:col>
      <xdr:colOff>200568</xdr:colOff>
      <xdr:row>55</xdr:row>
      <xdr:rowOff>171859</xdr:rowOff>
    </xdr:to>
    <xdr:graphicFrame macro="">
      <xdr:nvGraphicFramePr>
        <xdr:cNvPr id="78" name="Chart 77">
          <a:extLst>
            <a:ext uri="{FF2B5EF4-FFF2-40B4-BE49-F238E27FC236}">
              <a16:creationId xmlns:a16="http://schemas.microsoft.com/office/drawing/2014/main" id="{23674CA3-E9F1-420D-8EFF-8AA5ED84E3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13</xdr:col>
      <xdr:colOff>488462</xdr:colOff>
      <xdr:row>27</xdr:row>
      <xdr:rowOff>86591</xdr:rowOff>
    </xdr:from>
    <xdr:to>
      <xdr:col>27</xdr:col>
      <xdr:colOff>242455</xdr:colOff>
      <xdr:row>56</xdr:row>
      <xdr:rowOff>86591</xdr:rowOff>
    </xdr:to>
    <mc:AlternateContent xmlns:mc="http://schemas.openxmlformats.org/markup-compatibility/2006">
      <mc:Choice xmlns:cx2="http://schemas.microsoft.com/office/drawing/2015/10/21/chartex" Requires="cx2">
        <xdr:graphicFrame macro="">
          <xdr:nvGraphicFramePr>
            <xdr:cNvPr id="79" name="Chart 78">
              <a:extLst>
                <a:ext uri="{FF2B5EF4-FFF2-40B4-BE49-F238E27FC236}">
                  <a16:creationId xmlns:a16="http://schemas.microsoft.com/office/drawing/2014/main" id="{92FB479D-D2EA-4C9B-91FA-5E2FECD5A8B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6"/>
            </a:graphicData>
          </a:graphic>
        </xdr:graphicFrame>
      </mc:Choice>
      <mc:Fallback>
        <xdr:sp macro="" textlink="">
          <xdr:nvSpPr>
            <xdr:cNvPr id="0" name=""/>
            <xdr:cNvSpPr>
              <a:spLocks noTextEdit="1"/>
            </xdr:cNvSpPr>
          </xdr:nvSpPr>
          <xdr:spPr>
            <a:xfrm>
              <a:off x="8362462" y="4834437"/>
              <a:ext cx="8233685" cy="509953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27</xdr:col>
      <xdr:colOff>498230</xdr:colOff>
      <xdr:row>27</xdr:row>
      <xdr:rowOff>89255</xdr:rowOff>
    </xdr:from>
    <xdr:to>
      <xdr:col>41</xdr:col>
      <xdr:colOff>350359</xdr:colOff>
      <xdr:row>56</xdr:row>
      <xdr:rowOff>89255</xdr:rowOff>
    </xdr:to>
    <xdr:graphicFrame macro="">
      <xdr:nvGraphicFramePr>
        <xdr:cNvPr id="80" name="Chart 79">
          <a:extLst>
            <a:ext uri="{FF2B5EF4-FFF2-40B4-BE49-F238E27FC236}">
              <a16:creationId xmlns:a16="http://schemas.microsoft.com/office/drawing/2014/main" id="{8C2A020A-49ED-44EF-8DC1-25E0ABC036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xdr:col>
      <xdr:colOff>152911</xdr:colOff>
      <xdr:row>57</xdr:row>
      <xdr:rowOff>24209</xdr:rowOff>
    </xdr:from>
    <xdr:to>
      <xdr:col>18</xdr:col>
      <xdr:colOff>82751</xdr:colOff>
      <xdr:row>84</xdr:row>
      <xdr:rowOff>106141</xdr:rowOff>
    </xdr:to>
    <xdr:graphicFrame macro="">
      <xdr:nvGraphicFramePr>
        <xdr:cNvPr id="81" name="Chart 80">
          <a:extLst>
            <a:ext uri="{FF2B5EF4-FFF2-40B4-BE49-F238E27FC236}">
              <a16:creationId xmlns:a16="http://schemas.microsoft.com/office/drawing/2014/main" id="{3F506CE6-EAAA-4068-8C80-4CE92EABB8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18</xdr:col>
      <xdr:colOff>293077</xdr:colOff>
      <xdr:row>57</xdr:row>
      <xdr:rowOff>33625</xdr:rowOff>
    </xdr:from>
    <xdr:to>
      <xdr:col>27</xdr:col>
      <xdr:colOff>149919</xdr:colOff>
      <xdr:row>84</xdr:row>
      <xdr:rowOff>174029</xdr:rowOff>
    </xdr:to>
    <xdr:graphicFrame macro="">
      <xdr:nvGraphicFramePr>
        <xdr:cNvPr id="82" name="Chart 81">
          <a:extLst>
            <a:ext uri="{FF2B5EF4-FFF2-40B4-BE49-F238E27FC236}">
              <a16:creationId xmlns:a16="http://schemas.microsoft.com/office/drawing/2014/main" id="{925B5207-FCD3-4F8D-9A53-7C7F79E3D8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editAs="oneCell">
    <xdr:from>
      <xdr:col>6</xdr:col>
      <xdr:colOff>128627</xdr:colOff>
      <xdr:row>36</xdr:row>
      <xdr:rowOff>47218</xdr:rowOff>
    </xdr:from>
    <xdr:to>
      <xdr:col>9</xdr:col>
      <xdr:colOff>78094</xdr:colOff>
      <xdr:row>45</xdr:row>
      <xdr:rowOff>117230</xdr:rowOff>
    </xdr:to>
    <xdr:pic>
      <xdr:nvPicPr>
        <xdr:cNvPr id="84" name="Graphic 83" descr="Map with pin with solid fill">
          <a:extLst>
            <a:ext uri="{FF2B5EF4-FFF2-40B4-BE49-F238E27FC236}">
              <a16:creationId xmlns:a16="http://schemas.microsoft.com/office/drawing/2014/main" id="{9106B98C-EA77-8603-E85A-30A011F5DA76}"/>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3762781" y="6377680"/>
          <a:ext cx="1766544" cy="1652627"/>
        </a:xfrm>
        <a:prstGeom prst="rect">
          <a:avLst/>
        </a:prstGeom>
      </xdr:spPr>
    </xdr:pic>
    <xdr:clientData/>
  </xdr:twoCellAnchor>
  <xdr:twoCellAnchor>
    <xdr:from>
      <xdr:col>27</xdr:col>
      <xdr:colOff>371230</xdr:colOff>
      <xdr:row>57</xdr:row>
      <xdr:rowOff>117230</xdr:rowOff>
    </xdr:from>
    <xdr:to>
      <xdr:col>41</xdr:col>
      <xdr:colOff>407785</xdr:colOff>
      <xdr:row>84</xdr:row>
      <xdr:rowOff>162950</xdr:rowOff>
    </xdr:to>
    <xdr:graphicFrame macro="">
      <xdr:nvGraphicFramePr>
        <xdr:cNvPr id="87" name="Chart 86">
          <a:extLst>
            <a:ext uri="{FF2B5EF4-FFF2-40B4-BE49-F238E27FC236}">
              <a16:creationId xmlns:a16="http://schemas.microsoft.com/office/drawing/2014/main" id="{C71AC111-29CC-4E3F-86DD-E514882152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editAs="oneCell">
    <xdr:from>
      <xdr:col>39</xdr:col>
      <xdr:colOff>198634</xdr:colOff>
      <xdr:row>3</xdr:row>
      <xdr:rowOff>52896</xdr:rowOff>
    </xdr:from>
    <xdr:to>
      <xdr:col>41</xdr:col>
      <xdr:colOff>544693</xdr:colOff>
      <xdr:row>12</xdr:row>
      <xdr:rowOff>108652</xdr:rowOff>
    </xdr:to>
    <mc:AlternateContent xmlns:mc="http://schemas.openxmlformats.org/markup-compatibility/2006">
      <mc:Choice xmlns:a14="http://schemas.microsoft.com/office/drawing/2010/main" Requires="a14">
        <xdr:graphicFrame macro="">
          <xdr:nvGraphicFramePr>
            <xdr:cNvPr id="88" name="Year">
              <a:extLst>
                <a:ext uri="{FF2B5EF4-FFF2-40B4-BE49-F238E27FC236}">
                  <a16:creationId xmlns:a16="http://schemas.microsoft.com/office/drawing/2014/main" id="{5BA3A7D9-64CF-6855-2814-FB20DE3BA7DC}"/>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23820634" y="580434"/>
              <a:ext cx="1557444" cy="1638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riginal lap" refreshedDate="46074.292220254632" createdVersion="8" refreshedVersion="8" minRefreshableVersion="3" recordCount="140" xr:uid="{9EC39F04-40B3-4396-ACC5-E001F8F086F7}">
  <cacheSource type="worksheet">
    <worksheetSource name="Table2"/>
  </cacheSource>
  <cacheFields count="18">
    <cacheField name="Year" numFmtId="0">
      <sharedItems containsSemiMixedTypes="0" containsString="0" containsNumber="1" containsInteger="1" minValue="2022" maxValue="2023" count="2">
        <n v="2022"/>
        <n v="2023"/>
      </sharedItems>
    </cacheField>
    <cacheField name="Month" numFmtId="0">
      <sharedItems count="12">
        <s v="Jan"/>
        <s v="Apr"/>
        <s v="Jun"/>
        <s v="Oct"/>
        <s v="Dec"/>
        <s v="Sep"/>
        <s v="Mar"/>
        <s v="Aug"/>
        <s v="May"/>
        <s v="Nov"/>
        <s v="Jul"/>
        <s v="Feb"/>
      </sharedItems>
    </cacheField>
    <cacheField name="Hotel Name" numFmtId="0">
      <sharedItems count="8">
        <s v="Opera House"/>
        <s v="Hames Palace"/>
        <s v="Marine Resort"/>
        <s v="Empire Grand"/>
        <s v="Palace Inn"/>
        <s v="View Hotel"/>
        <s v="Inn Eve"/>
        <s v="Hotel Sunshine"/>
      </sharedItems>
    </cacheField>
    <cacheField name="Country" numFmtId="0">
      <sharedItems count="6">
        <s v="Australia"/>
        <s v="United Kingdom"/>
        <s v="India"/>
        <s v="United States"/>
        <s v="United Arab Emirates"/>
        <s v="Italy"/>
      </sharedItems>
    </cacheField>
    <cacheField name="City" numFmtId="0">
      <sharedItems count="12">
        <s v="Sydney"/>
        <s v="London"/>
        <s v="Mumbai"/>
        <s v="New York"/>
        <s v="Abu Dhabi"/>
        <s v="Rome"/>
        <s v="Bangalore"/>
        <s v="Melbourne"/>
        <s v="Milan"/>
        <s v="Los Angeles"/>
        <s v="Chicago"/>
        <s v="Birmingham"/>
      </sharedItems>
    </cacheField>
    <cacheField name="Customer ID" numFmtId="0">
      <sharedItems count="28">
        <s v="CID00"/>
        <s v="CID01"/>
        <s v="CID03"/>
        <s v="CID08"/>
        <s v="CID09"/>
        <s v="CID12"/>
        <s v="CID14"/>
        <s v="CID15"/>
        <s v="CID16"/>
        <s v="CID17"/>
        <s v="CID23"/>
        <s v="CID24"/>
        <s v="CID26"/>
        <s v="CID27"/>
        <s v="CID33"/>
        <s v="CID36"/>
        <s v="CID38"/>
        <s v="CID39"/>
        <s v="CID43"/>
        <s v="CID44"/>
        <s v="CID45"/>
        <s v="CID51"/>
        <s v="CID52"/>
        <s v="CID57"/>
        <s v="CID58"/>
        <s v="CID60"/>
        <s v="CID61"/>
        <s v="CID63"/>
      </sharedItems>
    </cacheField>
    <cacheField name="Customer Age" numFmtId="0">
      <sharedItems containsSemiMixedTypes="0" containsString="0" containsNumber="1" containsInteger="1" minValue="19" maxValue="72"/>
    </cacheField>
    <cacheField name="Customer Gender" numFmtId="0">
      <sharedItems/>
    </cacheField>
    <cacheField name="Customer Type" numFmtId="0">
      <sharedItems count="2">
        <s v="Existing"/>
        <s v="New"/>
      </sharedItems>
    </cacheField>
    <cacheField name="Booking Date" numFmtId="14">
      <sharedItems containsSemiMixedTypes="0" containsNonDate="0" containsDate="1" containsString="0" minDate="2022-01-09T00:00:00" maxDate="2024-01-01T00:00:00"/>
    </cacheField>
    <cacheField name="Room Type" numFmtId="0">
      <sharedItems count="7">
        <s v="Business Class"/>
        <s v="Single"/>
        <s v="Super Luxury"/>
        <s v="Sharing"/>
        <s v="Regular"/>
        <s v="Delux"/>
        <s v="Luxury"/>
      </sharedItems>
    </cacheField>
    <cacheField name="Booking Status" numFmtId="0">
      <sharedItems/>
    </cacheField>
    <cacheField name="Room Booked" numFmtId="0">
      <sharedItems containsSemiMixedTypes="0" containsString="0" containsNumber="1" containsInteger="1" minValue="1" maxValue="76"/>
    </cacheField>
    <cacheField name="Room Available" numFmtId="0">
      <sharedItems containsSemiMixedTypes="0" containsString="0" containsNumber="1" containsInteger="1" minValue="77" maxValue="125" count="37">
        <n v="123"/>
        <n v="106"/>
        <n v="86"/>
        <n v="121"/>
        <n v="114"/>
        <n v="105"/>
        <n v="109"/>
        <n v="99"/>
        <n v="115"/>
        <n v="80"/>
        <n v="96"/>
        <n v="92"/>
        <n v="110"/>
        <n v="119"/>
        <n v="83"/>
        <n v="113"/>
        <n v="98"/>
        <n v="89"/>
        <n v="111"/>
        <n v="108"/>
        <n v="82"/>
        <n v="104"/>
        <n v="118"/>
        <n v="93"/>
        <n v="81"/>
        <n v="101"/>
        <n v="120"/>
        <n v="84"/>
        <n v="97"/>
        <n v="107"/>
        <n v="112"/>
        <n v="125"/>
        <n v="94"/>
        <n v="77"/>
        <n v="79"/>
        <n v="116"/>
        <n v="117"/>
      </sharedItems>
    </cacheField>
    <cacheField name="Price" numFmtId="0">
      <sharedItems containsSemiMixedTypes="0" containsString="0" containsNumber="1" containsInteger="1" minValue="340" maxValue="252768"/>
    </cacheField>
    <cacheField name="Payment Mode" numFmtId="0">
      <sharedItems/>
    </cacheField>
    <cacheField name="Total Revenue" numFmtId="0">
      <sharedItems containsSemiMixedTypes="0" containsString="0" containsNumber="1" containsInteger="1" minValue="2458" maxValue="12267008"/>
    </cacheField>
    <cacheField name="Profit" numFmtId="165">
      <sharedItems containsSemiMixedTypes="0" containsString="0" containsNumber="1" minValue="1108.8" maxValue="270825.3"/>
    </cacheField>
  </cacheFields>
  <extLst>
    <ext xmlns:x14="http://schemas.microsoft.com/office/spreadsheetml/2009/9/main" uri="{725AE2AE-9491-48be-B2B4-4EB974FC3084}">
      <x14:pivotCacheDefinition pivotCacheId="79439636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0">
  <r>
    <x v="0"/>
    <x v="0"/>
    <x v="0"/>
    <x v="0"/>
    <x v="0"/>
    <x v="0"/>
    <n v="37"/>
    <s v="Female"/>
    <x v="0"/>
    <d v="2022-01-09T00:00:00"/>
    <x v="0"/>
    <s v="Cancelled"/>
    <n v="9"/>
    <x v="0"/>
    <n v="4867"/>
    <s v="Online"/>
    <n v="43803"/>
    <n v="32122.199999999997"/>
  </r>
  <r>
    <x v="0"/>
    <x v="1"/>
    <x v="1"/>
    <x v="1"/>
    <x v="1"/>
    <x v="1"/>
    <n v="21"/>
    <s v="Male"/>
    <x v="0"/>
    <d v="2022-04-23T00:00:00"/>
    <x v="0"/>
    <s v="Pending"/>
    <n v="26"/>
    <x v="1"/>
    <n v="3928"/>
    <s v="Credit Card"/>
    <n v="102128"/>
    <n v="44779.199999999997"/>
  </r>
  <r>
    <x v="0"/>
    <x v="2"/>
    <x v="2"/>
    <x v="2"/>
    <x v="2"/>
    <x v="2"/>
    <n v="22"/>
    <s v="Female"/>
    <x v="1"/>
    <d v="2022-06-09T00:00:00"/>
    <x v="1"/>
    <s v="Confirmed"/>
    <n v="11"/>
    <x v="0"/>
    <n v="26016"/>
    <s v="Online"/>
    <n v="286176"/>
    <n v="26341.200000000001"/>
  </r>
  <r>
    <x v="0"/>
    <x v="3"/>
    <x v="0"/>
    <x v="0"/>
    <x v="0"/>
    <x v="3"/>
    <n v="56"/>
    <s v="Female"/>
    <x v="1"/>
    <d v="2022-10-03T00:00:00"/>
    <x v="2"/>
    <s v="Pending"/>
    <n v="19"/>
    <x v="2"/>
    <n v="4639"/>
    <s v="Online"/>
    <n v="88141"/>
    <n v="65409.899999999994"/>
  </r>
  <r>
    <x v="0"/>
    <x v="4"/>
    <x v="1"/>
    <x v="1"/>
    <x v="1"/>
    <x v="4"/>
    <n v="56"/>
    <s v="Female"/>
    <x v="0"/>
    <d v="2022-12-19T00:00:00"/>
    <x v="3"/>
    <s v="Pending"/>
    <n v="47"/>
    <x v="3"/>
    <n v="73568"/>
    <s v="Cash"/>
    <n v="3457696"/>
    <n v="197433.60000000001"/>
  </r>
  <r>
    <x v="1"/>
    <x v="5"/>
    <x v="2"/>
    <x v="2"/>
    <x v="2"/>
    <x v="5"/>
    <n v="52"/>
    <s v="Male"/>
    <x v="0"/>
    <d v="2023-09-15T00:00:00"/>
    <x v="0"/>
    <s v="Cancelled"/>
    <n v="22"/>
    <x v="0"/>
    <n v="7380"/>
    <s v="Online"/>
    <n v="162360"/>
    <n v="121770"/>
  </r>
  <r>
    <x v="0"/>
    <x v="6"/>
    <x v="0"/>
    <x v="0"/>
    <x v="0"/>
    <x v="6"/>
    <n v="64"/>
    <s v="Female"/>
    <x v="0"/>
    <d v="2022-03-26T00:00:00"/>
    <x v="0"/>
    <s v="Pending"/>
    <n v="26"/>
    <x v="4"/>
    <n v="3976"/>
    <s v="Cash"/>
    <n v="103376"/>
    <n v="75146.399999999994"/>
  </r>
  <r>
    <x v="0"/>
    <x v="7"/>
    <x v="1"/>
    <x v="1"/>
    <x v="1"/>
    <x v="7"/>
    <n v="22"/>
    <s v="Male"/>
    <x v="0"/>
    <d v="2022-08-09T00:00:00"/>
    <x v="1"/>
    <s v="Cancelled"/>
    <n v="38"/>
    <x v="5"/>
    <n v="35248"/>
    <s v="Credit Card"/>
    <n v="1339424"/>
    <n v="91204.2"/>
  </r>
  <r>
    <x v="1"/>
    <x v="8"/>
    <x v="2"/>
    <x v="2"/>
    <x v="2"/>
    <x v="8"/>
    <n v="49"/>
    <s v="Female"/>
    <x v="0"/>
    <d v="2023-05-16T00:00:00"/>
    <x v="1"/>
    <s v="Cancelled"/>
    <n v="62"/>
    <x v="6"/>
    <n v="42008"/>
    <s v="Credit Card"/>
    <n v="2604496"/>
    <n v="97668.599999999991"/>
  </r>
  <r>
    <x v="0"/>
    <x v="0"/>
    <x v="3"/>
    <x v="3"/>
    <x v="3"/>
    <x v="9"/>
    <n v="46"/>
    <s v="Female"/>
    <x v="1"/>
    <d v="2022-01-15T00:00:00"/>
    <x v="3"/>
    <s v="Pending"/>
    <n v="16"/>
    <x v="7"/>
    <n v="20104"/>
    <s v="Debit Card"/>
    <n v="321664"/>
    <n v="104549.4"/>
  </r>
  <r>
    <x v="0"/>
    <x v="3"/>
    <x v="0"/>
    <x v="0"/>
    <x v="0"/>
    <x v="10"/>
    <n v="38"/>
    <s v="Female"/>
    <x v="0"/>
    <d v="2022-10-16T00:00:00"/>
    <x v="4"/>
    <s v="Pending"/>
    <n v="16"/>
    <x v="8"/>
    <n v="9707"/>
    <s v="Debit Card"/>
    <n v="155312"/>
    <n v="270825.3"/>
  </r>
  <r>
    <x v="1"/>
    <x v="5"/>
    <x v="0"/>
    <x v="0"/>
    <x v="0"/>
    <x v="11"/>
    <n v="56"/>
    <s v="Female"/>
    <x v="0"/>
    <d v="2023-09-13T00:00:00"/>
    <x v="0"/>
    <s v="Pending"/>
    <n v="24"/>
    <x v="9"/>
    <n v="340"/>
    <s v="Online"/>
    <n v="8160"/>
    <n v="6018"/>
  </r>
  <r>
    <x v="1"/>
    <x v="2"/>
    <x v="1"/>
    <x v="1"/>
    <x v="1"/>
    <x v="12"/>
    <n v="35"/>
    <s v="Male"/>
    <x v="1"/>
    <d v="2023-06-18T00:00:00"/>
    <x v="5"/>
    <s v="Cancelled"/>
    <n v="27"/>
    <x v="6"/>
    <n v="76704"/>
    <s v="Cash"/>
    <n v="2071008"/>
    <n v="86702.7"/>
  </r>
  <r>
    <x v="0"/>
    <x v="9"/>
    <x v="4"/>
    <x v="4"/>
    <x v="4"/>
    <x v="13"/>
    <n v="56"/>
    <s v="Female"/>
    <x v="1"/>
    <d v="2022-11-27T00:00:00"/>
    <x v="3"/>
    <s v="Confirmed"/>
    <n v="34"/>
    <x v="10"/>
    <n v="17304"/>
    <s v="Online"/>
    <n v="588336"/>
    <n v="17952.899999999998"/>
  </r>
  <r>
    <x v="1"/>
    <x v="3"/>
    <x v="0"/>
    <x v="0"/>
    <x v="0"/>
    <x v="14"/>
    <n v="56"/>
    <s v="Female"/>
    <x v="0"/>
    <d v="2023-10-03T00:00:00"/>
    <x v="3"/>
    <s v="Cancelled"/>
    <n v="14"/>
    <x v="5"/>
    <n v="155856"/>
    <s v="Online"/>
    <n v="2181984"/>
    <n v="64290.6"/>
  </r>
  <r>
    <x v="0"/>
    <x v="3"/>
    <x v="0"/>
    <x v="0"/>
    <x v="0"/>
    <x v="15"/>
    <n v="55"/>
    <s v="Female"/>
    <x v="0"/>
    <d v="2022-10-26T00:00:00"/>
    <x v="4"/>
    <s v="Pending"/>
    <n v="21"/>
    <x v="11"/>
    <n v="1945"/>
    <s v="Cash"/>
    <n v="40845"/>
    <n v="19255.5"/>
  </r>
  <r>
    <x v="1"/>
    <x v="10"/>
    <x v="4"/>
    <x v="4"/>
    <x v="4"/>
    <x v="16"/>
    <n v="19"/>
    <s v="Female"/>
    <x v="0"/>
    <d v="2023-07-31T00:00:00"/>
    <x v="1"/>
    <s v="Confirmed"/>
    <n v="16"/>
    <x v="12"/>
    <n v="75528"/>
    <s v="Debit Card"/>
    <n v="1208448"/>
    <n v="107627.4"/>
  </r>
  <r>
    <x v="0"/>
    <x v="5"/>
    <x v="3"/>
    <x v="3"/>
    <x v="3"/>
    <x v="17"/>
    <n v="58"/>
    <s v="Female"/>
    <x v="0"/>
    <d v="2022-09-07T00:00:00"/>
    <x v="4"/>
    <s v="Pending"/>
    <n v="16"/>
    <x v="13"/>
    <n v="1683"/>
    <s v="Debit Card"/>
    <n v="26928"/>
    <n v="19691.099999999999"/>
  </r>
  <r>
    <x v="0"/>
    <x v="1"/>
    <x v="4"/>
    <x v="4"/>
    <x v="4"/>
    <x v="18"/>
    <n v="42"/>
    <s v="Male"/>
    <x v="0"/>
    <d v="2022-04-14T00:00:00"/>
    <x v="6"/>
    <s v="Cancelled"/>
    <n v="1"/>
    <x v="14"/>
    <n v="59136"/>
    <s v="Cash"/>
    <n v="59136"/>
    <n v="1108.8"/>
  </r>
  <r>
    <x v="1"/>
    <x v="4"/>
    <x v="2"/>
    <x v="2"/>
    <x v="2"/>
    <x v="19"/>
    <n v="56"/>
    <s v="Female"/>
    <x v="0"/>
    <d v="2023-12-02T00:00:00"/>
    <x v="2"/>
    <s v="Confirmed"/>
    <n v="38"/>
    <x v="15"/>
    <n v="5517"/>
    <s v="Debit Card"/>
    <n v="209646"/>
    <n v="122477.4"/>
  </r>
  <r>
    <x v="1"/>
    <x v="0"/>
    <x v="0"/>
    <x v="0"/>
    <x v="0"/>
    <x v="20"/>
    <n v="56"/>
    <s v="Male"/>
    <x v="0"/>
    <d v="2023-01-25T00:00:00"/>
    <x v="0"/>
    <s v="Confirmed"/>
    <n v="8"/>
    <x v="16"/>
    <n v="3137"/>
    <s v="Online"/>
    <n v="25096"/>
    <n v="82816.800000000003"/>
  </r>
  <r>
    <x v="1"/>
    <x v="10"/>
    <x v="4"/>
    <x v="4"/>
    <x v="4"/>
    <x v="21"/>
    <n v="71"/>
    <s v="Male"/>
    <x v="0"/>
    <d v="2023-07-07T00:00:00"/>
    <x v="3"/>
    <s v="Confirmed"/>
    <n v="3"/>
    <x v="17"/>
    <n v="93488"/>
    <s v="Online"/>
    <n v="280464"/>
    <n v="16930.2"/>
  </r>
  <r>
    <x v="0"/>
    <x v="0"/>
    <x v="4"/>
    <x v="4"/>
    <x v="4"/>
    <x v="22"/>
    <n v="21"/>
    <s v="Female"/>
    <x v="0"/>
    <d v="2022-01-25T00:00:00"/>
    <x v="3"/>
    <s v="Cancelled"/>
    <n v="38"/>
    <x v="11"/>
    <n v="6456"/>
    <s v="Cash"/>
    <n v="245328"/>
    <n v="216755.1"/>
  </r>
  <r>
    <x v="1"/>
    <x v="9"/>
    <x v="2"/>
    <x v="2"/>
    <x v="2"/>
    <x v="23"/>
    <n v="31"/>
    <s v="Male"/>
    <x v="0"/>
    <d v="2023-11-19T00:00:00"/>
    <x v="2"/>
    <s v="Cancelled"/>
    <n v="44"/>
    <x v="3"/>
    <n v="8790"/>
    <s v="Credit Card"/>
    <n v="386760"/>
    <n v="152946"/>
  </r>
  <r>
    <x v="0"/>
    <x v="9"/>
    <x v="0"/>
    <x v="0"/>
    <x v="0"/>
    <x v="24"/>
    <n v="29"/>
    <s v="Female"/>
    <x v="0"/>
    <d v="2022-11-20T00:00:00"/>
    <x v="2"/>
    <s v="Confirmed"/>
    <n v="7"/>
    <x v="18"/>
    <n v="9488"/>
    <s v="Online"/>
    <n v="66416"/>
    <n v="19924.8"/>
  </r>
  <r>
    <x v="1"/>
    <x v="8"/>
    <x v="5"/>
    <x v="4"/>
    <x v="4"/>
    <x v="25"/>
    <n v="69"/>
    <s v="Female"/>
    <x v="0"/>
    <d v="2023-05-22T00:00:00"/>
    <x v="4"/>
    <s v="Cancelled"/>
    <n v="21"/>
    <x v="19"/>
    <n v="5691"/>
    <s v="Online"/>
    <n v="119511"/>
    <n v="88779.599999999991"/>
  </r>
  <r>
    <x v="1"/>
    <x v="5"/>
    <x v="0"/>
    <x v="0"/>
    <x v="0"/>
    <x v="26"/>
    <n v="58"/>
    <s v="Female"/>
    <x v="0"/>
    <d v="2023-09-21T00:00:00"/>
    <x v="0"/>
    <s v="Pending"/>
    <n v="16"/>
    <x v="7"/>
    <n v="9224"/>
    <s v="Online"/>
    <n v="147584"/>
    <n v="132825.60000000001"/>
  </r>
  <r>
    <x v="1"/>
    <x v="8"/>
    <x v="3"/>
    <x v="0"/>
    <x v="0"/>
    <x v="27"/>
    <n v="56"/>
    <s v="Female"/>
    <x v="1"/>
    <d v="2023-05-28T00:00:00"/>
    <x v="1"/>
    <s v="Confirmed"/>
    <n v="2"/>
    <x v="9"/>
    <n v="51720"/>
    <s v="Online"/>
    <n v="103440"/>
    <n v="9697.5"/>
  </r>
  <r>
    <x v="0"/>
    <x v="6"/>
    <x v="6"/>
    <x v="5"/>
    <x v="5"/>
    <x v="0"/>
    <n v="57"/>
    <s v="Female"/>
    <x v="1"/>
    <d v="2022-03-02T00:00:00"/>
    <x v="2"/>
    <s v="Pending"/>
    <n v="14"/>
    <x v="6"/>
    <n v="4524"/>
    <s v="Online"/>
    <n v="63336"/>
    <n v="44787.6"/>
  </r>
  <r>
    <x v="0"/>
    <x v="6"/>
    <x v="6"/>
    <x v="5"/>
    <x v="5"/>
    <x v="1"/>
    <n v="57"/>
    <s v="Male"/>
    <x v="1"/>
    <d v="2022-03-04T00:00:00"/>
    <x v="4"/>
    <s v="Confirmed"/>
    <n v="39"/>
    <x v="20"/>
    <n v="2691"/>
    <s v="Debit Card"/>
    <n v="104949"/>
    <n v="78308.099999999991"/>
  </r>
  <r>
    <x v="1"/>
    <x v="5"/>
    <x v="1"/>
    <x v="0"/>
    <x v="0"/>
    <x v="2"/>
    <n v="60"/>
    <s v="Male"/>
    <x v="0"/>
    <d v="2023-09-02T00:00:00"/>
    <x v="3"/>
    <s v="Pending"/>
    <n v="43"/>
    <x v="21"/>
    <n v="93888"/>
    <s v="Debit Card"/>
    <n v="4037184"/>
    <n v="96235.199999999997"/>
  </r>
  <r>
    <x v="1"/>
    <x v="9"/>
    <x v="2"/>
    <x v="2"/>
    <x v="2"/>
    <x v="3"/>
    <n v="28"/>
    <s v="Female"/>
    <x v="0"/>
    <d v="2023-11-13T00:00:00"/>
    <x v="2"/>
    <s v="Confirmed"/>
    <n v="27"/>
    <x v="22"/>
    <n v="6681"/>
    <s v="Cash"/>
    <n v="180387"/>
    <n v="132283.79999999999"/>
  </r>
  <r>
    <x v="1"/>
    <x v="4"/>
    <x v="2"/>
    <x v="2"/>
    <x v="2"/>
    <x v="4"/>
    <n v="38"/>
    <s v="Female"/>
    <x v="0"/>
    <d v="2023-12-31T00:00:00"/>
    <x v="1"/>
    <s v="Confirmed"/>
    <n v="16"/>
    <x v="21"/>
    <n v="33680"/>
    <s v="Credit Card"/>
    <n v="538880"/>
    <n v="71991"/>
  </r>
  <r>
    <x v="0"/>
    <x v="7"/>
    <x v="7"/>
    <x v="0"/>
    <x v="0"/>
    <x v="5"/>
    <n v="56"/>
    <s v="Male"/>
    <x v="0"/>
    <d v="2022-08-13T00:00:00"/>
    <x v="4"/>
    <s v="Pending"/>
    <n v="20"/>
    <x v="23"/>
    <n v="2344"/>
    <s v="Online"/>
    <n v="46880"/>
    <n v="44301.599999999999"/>
  </r>
  <r>
    <x v="0"/>
    <x v="0"/>
    <x v="2"/>
    <x v="2"/>
    <x v="2"/>
    <x v="6"/>
    <n v="68"/>
    <s v="Male"/>
    <x v="0"/>
    <d v="2022-01-23T00:00:00"/>
    <x v="6"/>
    <s v="Confirmed"/>
    <n v="76"/>
    <x v="12"/>
    <n v="161408"/>
    <s v="Online"/>
    <n v="12267008"/>
    <n v="43882.799999999996"/>
  </r>
  <r>
    <x v="1"/>
    <x v="6"/>
    <x v="2"/>
    <x v="2"/>
    <x v="2"/>
    <x v="7"/>
    <n v="50"/>
    <s v="Male"/>
    <x v="0"/>
    <d v="2023-03-04T00:00:00"/>
    <x v="3"/>
    <s v="Confirmed"/>
    <n v="20"/>
    <x v="24"/>
    <n v="114744"/>
    <s v="Online"/>
    <n v="2294880"/>
    <n v="58806.299999999996"/>
  </r>
  <r>
    <x v="0"/>
    <x v="4"/>
    <x v="2"/>
    <x v="2"/>
    <x v="2"/>
    <x v="8"/>
    <n v="46"/>
    <s v="Female"/>
    <x v="0"/>
    <d v="2022-12-11T00:00:00"/>
    <x v="4"/>
    <s v="Confirmed"/>
    <n v="32"/>
    <x v="25"/>
    <n v="7104"/>
    <s v="Credit Card"/>
    <n v="227328"/>
    <n v="166233.60000000001"/>
  </r>
  <r>
    <x v="0"/>
    <x v="2"/>
    <x v="5"/>
    <x v="4"/>
    <x v="4"/>
    <x v="9"/>
    <n v="47"/>
    <s v="Male"/>
    <x v="0"/>
    <d v="2022-06-15T00:00:00"/>
    <x v="0"/>
    <s v="Cancelled"/>
    <n v="15"/>
    <x v="26"/>
    <n v="5655"/>
    <s v="Debit Card"/>
    <n v="84825"/>
    <n v="62770.5"/>
  </r>
  <r>
    <x v="1"/>
    <x v="7"/>
    <x v="6"/>
    <x v="0"/>
    <x v="0"/>
    <x v="10"/>
    <n v="26"/>
    <s v="Male"/>
    <x v="0"/>
    <d v="2023-08-10T00:00:00"/>
    <x v="0"/>
    <s v="Cancelled"/>
    <n v="7"/>
    <x v="13"/>
    <n v="7802"/>
    <s v="Online"/>
    <n v="54614"/>
    <n v="16384.2"/>
  </r>
  <r>
    <x v="1"/>
    <x v="1"/>
    <x v="5"/>
    <x v="4"/>
    <x v="4"/>
    <x v="11"/>
    <n v="55"/>
    <s v="Male"/>
    <x v="0"/>
    <d v="2023-04-25T00:00:00"/>
    <x v="6"/>
    <s v="Cancelled"/>
    <n v="7"/>
    <x v="27"/>
    <n v="19840"/>
    <s v="Debit Card"/>
    <n v="138880"/>
    <n v="2976"/>
  </r>
  <r>
    <x v="1"/>
    <x v="2"/>
    <x v="5"/>
    <x v="4"/>
    <x v="4"/>
    <x v="12"/>
    <n v="57"/>
    <s v="Female"/>
    <x v="0"/>
    <d v="2023-06-11T00:00:00"/>
    <x v="5"/>
    <s v="Confirmed"/>
    <n v="40"/>
    <x v="28"/>
    <n v="50560"/>
    <s v="Debit Card"/>
    <n v="2022400"/>
    <n v="77517"/>
  </r>
  <r>
    <x v="0"/>
    <x v="2"/>
    <x v="2"/>
    <x v="2"/>
    <x v="2"/>
    <x v="13"/>
    <n v="69"/>
    <s v="Female"/>
    <x v="0"/>
    <d v="2022-06-03T00:00:00"/>
    <x v="4"/>
    <s v="Confirmed"/>
    <n v="37"/>
    <x v="29"/>
    <n v="4351"/>
    <s v="Online"/>
    <n v="160987"/>
    <n v="118782.29999999999"/>
  </r>
  <r>
    <x v="0"/>
    <x v="7"/>
    <x v="5"/>
    <x v="4"/>
    <x v="4"/>
    <x v="14"/>
    <n v="23"/>
    <s v="Male"/>
    <x v="0"/>
    <d v="2022-08-17T00:00:00"/>
    <x v="3"/>
    <s v="Confirmed"/>
    <n v="10"/>
    <x v="28"/>
    <n v="118152"/>
    <s v="Debit Card"/>
    <n v="1181520"/>
    <n v="146213.1"/>
  </r>
  <r>
    <x v="0"/>
    <x v="7"/>
    <x v="7"/>
    <x v="3"/>
    <x v="3"/>
    <x v="15"/>
    <n v="54"/>
    <s v="Female"/>
    <x v="0"/>
    <d v="2022-08-03T00:00:00"/>
    <x v="5"/>
    <s v="Confirmed"/>
    <n v="28"/>
    <x v="0"/>
    <n v="52768"/>
    <s v="Debit Card"/>
    <n v="1477504"/>
    <n v="117463.2"/>
  </r>
  <r>
    <x v="1"/>
    <x v="10"/>
    <x v="2"/>
    <x v="0"/>
    <x v="0"/>
    <x v="16"/>
    <n v="62"/>
    <s v="Female"/>
    <x v="0"/>
    <d v="2023-07-18T00:00:00"/>
    <x v="1"/>
    <s v="Confirmed"/>
    <n v="24"/>
    <x v="21"/>
    <n v="26616"/>
    <s v="Online"/>
    <n v="638784"/>
    <n v="58887.9"/>
  </r>
  <r>
    <x v="1"/>
    <x v="2"/>
    <x v="7"/>
    <x v="3"/>
    <x v="3"/>
    <x v="17"/>
    <n v="68"/>
    <s v="Male"/>
    <x v="0"/>
    <d v="2023-06-22T00:00:00"/>
    <x v="5"/>
    <s v="Cancelled"/>
    <n v="28"/>
    <x v="7"/>
    <n v="23616"/>
    <s v="Cash"/>
    <n v="661248"/>
    <n v="31350.3"/>
  </r>
  <r>
    <x v="0"/>
    <x v="2"/>
    <x v="5"/>
    <x v="4"/>
    <x v="4"/>
    <x v="18"/>
    <n v="38"/>
    <s v="Male"/>
    <x v="0"/>
    <d v="2022-06-27T00:00:00"/>
    <x v="2"/>
    <s v="Confirmed"/>
    <n v="30"/>
    <x v="27"/>
    <n v="7804"/>
    <s v="Online"/>
    <n v="234120"/>
    <n v="173248.8"/>
  </r>
  <r>
    <x v="0"/>
    <x v="6"/>
    <x v="2"/>
    <x v="0"/>
    <x v="0"/>
    <x v="19"/>
    <n v="40"/>
    <s v="Male"/>
    <x v="0"/>
    <d v="2022-03-09T00:00:00"/>
    <x v="0"/>
    <s v="Cancelled"/>
    <n v="10"/>
    <x v="22"/>
    <n v="9387"/>
    <s v="Debit Card"/>
    <n v="93870"/>
    <n v="67586.399999999994"/>
  </r>
  <r>
    <x v="0"/>
    <x v="5"/>
    <x v="5"/>
    <x v="4"/>
    <x v="4"/>
    <x v="20"/>
    <n v="20"/>
    <s v="Female"/>
    <x v="0"/>
    <d v="2022-09-06T00:00:00"/>
    <x v="2"/>
    <s v="Pending"/>
    <n v="19"/>
    <x v="14"/>
    <n v="6073"/>
    <s v="Online"/>
    <n v="115387"/>
    <n v="83807.399999999994"/>
  </r>
  <r>
    <x v="1"/>
    <x v="3"/>
    <x v="5"/>
    <x v="4"/>
    <x v="4"/>
    <x v="21"/>
    <n v="72"/>
    <s v="Female"/>
    <x v="1"/>
    <d v="2023-10-07T00:00:00"/>
    <x v="4"/>
    <s v="Cancelled"/>
    <n v="32"/>
    <x v="14"/>
    <n v="1924"/>
    <s v="Credit Card"/>
    <n v="61568"/>
    <n v="45021.599999999999"/>
  </r>
  <r>
    <x v="1"/>
    <x v="7"/>
    <x v="2"/>
    <x v="2"/>
    <x v="2"/>
    <x v="22"/>
    <n v="55"/>
    <s v="Male"/>
    <x v="1"/>
    <d v="2023-08-24T00:00:00"/>
    <x v="0"/>
    <s v="Pending"/>
    <n v="34"/>
    <x v="4"/>
    <n v="2871"/>
    <s v="Debit Card"/>
    <n v="97614"/>
    <n v="71487.899999999994"/>
  </r>
  <r>
    <x v="1"/>
    <x v="11"/>
    <x v="5"/>
    <x v="4"/>
    <x v="4"/>
    <x v="23"/>
    <n v="60"/>
    <s v="Female"/>
    <x v="1"/>
    <d v="2023-02-06T00:00:00"/>
    <x v="3"/>
    <s v="Cancelled"/>
    <n v="26"/>
    <x v="30"/>
    <n v="119736"/>
    <s v="Online"/>
    <n v="3113136"/>
    <n v="94292.099999999991"/>
  </r>
  <r>
    <x v="0"/>
    <x v="2"/>
    <x v="7"/>
    <x v="3"/>
    <x v="3"/>
    <x v="24"/>
    <n v="52"/>
    <s v="Male"/>
    <x v="1"/>
    <d v="2022-06-26T00:00:00"/>
    <x v="2"/>
    <s v="Cancelled"/>
    <n v="15"/>
    <x v="1"/>
    <n v="8278"/>
    <s v="Online"/>
    <n v="124170"/>
    <n v="89402.4"/>
  </r>
  <r>
    <x v="0"/>
    <x v="9"/>
    <x v="1"/>
    <x v="1"/>
    <x v="1"/>
    <x v="25"/>
    <n v="20"/>
    <s v="Male"/>
    <x v="0"/>
    <d v="2022-11-01T00:00:00"/>
    <x v="2"/>
    <s v="Pending"/>
    <n v="19"/>
    <x v="31"/>
    <n v="7364"/>
    <s v="Online"/>
    <n v="139916"/>
    <n v="46393.2"/>
  </r>
  <r>
    <x v="0"/>
    <x v="10"/>
    <x v="5"/>
    <x v="4"/>
    <x v="4"/>
    <x v="26"/>
    <n v="27"/>
    <s v="Male"/>
    <x v="0"/>
    <d v="2022-07-04T00:00:00"/>
    <x v="3"/>
    <s v="Cancelled"/>
    <n v="6"/>
    <x v="32"/>
    <n v="122880"/>
    <s v="Credit Card"/>
    <n v="737280"/>
    <n v="19968"/>
  </r>
  <r>
    <x v="0"/>
    <x v="4"/>
    <x v="0"/>
    <x v="0"/>
    <x v="0"/>
    <x v="27"/>
    <n v="35"/>
    <s v="Male"/>
    <x v="0"/>
    <d v="2022-12-12T00:00:00"/>
    <x v="3"/>
    <s v="Pending"/>
    <n v="16"/>
    <x v="13"/>
    <n v="116352"/>
    <s v="Cash"/>
    <n v="1861632"/>
    <n v="91627.199999999997"/>
  </r>
  <r>
    <x v="1"/>
    <x v="0"/>
    <x v="5"/>
    <x v="4"/>
    <x v="4"/>
    <x v="0"/>
    <n v="44"/>
    <s v="Male"/>
    <x v="1"/>
    <d v="2023-01-22T00:00:00"/>
    <x v="5"/>
    <s v="Confirmed"/>
    <n v="32"/>
    <x v="9"/>
    <n v="72768"/>
    <s v="Cash"/>
    <n v="2328576"/>
    <n v="166089.60000000001"/>
  </r>
  <r>
    <x v="0"/>
    <x v="4"/>
    <x v="5"/>
    <x v="0"/>
    <x v="0"/>
    <x v="1"/>
    <n v="63"/>
    <s v="Male"/>
    <x v="1"/>
    <d v="2022-12-31T00:00:00"/>
    <x v="3"/>
    <s v="Confirmed"/>
    <n v="38"/>
    <x v="8"/>
    <n v="132480"/>
    <s v="Online"/>
    <n v="5034240"/>
    <n v="157320"/>
  </r>
  <r>
    <x v="0"/>
    <x v="8"/>
    <x v="4"/>
    <x v="0"/>
    <x v="0"/>
    <x v="2"/>
    <n v="37"/>
    <s v="Male"/>
    <x v="0"/>
    <d v="2022-05-20T00:00:00"/>
    <x v="6"/>
    <s v="Pending"/>
    <n v="38"/>
    <x v="8"/>
    <n v="241984"/>
    <s v="Online"/>
    <n v="9195392"/>
    <n v="215517"/>
  </r>
  <r>
    <x v="1"/>
    <x v="8"/>
    <x v="2"/>
    <x v="2"/>
    <x v="2"/>
    <x v="3"/>
    <n v="23"/>
    <s v="Male"/>
    <x v="1"/>
    <d v="2023-05-12T00:00:00"/>
    <x v="1"/>
    <s v="Confirmed"/>
    <n v="71"/>
    <x v="33"/>
    <n v="29216"/>
    <s v="Online"/>
    <n v="2074336"/>
    <n v="4382.3999999999996"/>
  </r>
  <r>
    <x v="0"/>
    <x v="5"/>
    <x v="3"/>
    <x v="3"/>
    <x v="3"/>
    <x v="4"/>
    <n v="27"/>
    <s v="Male"/>
    <x v="1"/>
    <d v="2022-09-20T00:00:00"/>
    <x v="5"/>
    <s v="Confirmed"/>
    <n v="13"/>
    <x v="29"/>
    <n v="119616"/>
    <s v="Cash"/>
    <n v="1555008"/>
    <n v="11587.8"/>
  </r>
  <r>
    <x v="0"/>
    <x v="2"/>
    <x v="2"/>
    <x v="2"/>
    <x v="2"/>
    <x v="5"/>
    <n v="69"/>
    <s v="Male"/>
    <x v="1"/>
    <d v="2022-06-06T00:00:00"/>
    <x v="6"/>
    <s v="Pending"/>
    <n v="28"/>
    <x v="34"/>
    <n v="31040"/>
    <s v="Online"/>
    <n v="869120"/>
    <n v="6693"/>
  </r>
  <r>
    <x v="0"/>
    <x v="1"/>
    <x v="5"/>
    <x v="4"/>
    <x v="4"/>
    <x v="6"/>
    <n v="29"/>
    <s v="Male"/>
    <x v="1"/>
    <d v="2022-04-23T00:00:00"/>
    <x v="1"/>
    <s v="Confirmed"/>
    <n v="24"/>
    <x v="35"/>
    <n v="29832"/>
    <s v="Online"/>
    <n v="715968"/>
    <n v="64884.6"/>
  </r>
  <r>
    <x v="1"/>
    <x v="7"/>
    <x v="2"/>
    <x v="2"/>
    <x v="2"/>
    <x v="7"/>
    <n v="43"/>
    <s v="Female"/>
    <x v="0"/>
    <d v="2023-08-07T00:00:00"/>
    <x v="4"/>
    <s v="Confirmed"/>
    <n v="27"/>
    <x v="23"/>
    <n v="7325"/>
    <s v="Cash"/>
    <n v="197775"/>
    <n v="145035"/>
  </r>
  <r>
    <x v="0"/>
    <x v="1"/>
    <x v="5"/>
    <x v="0"/>
    <x v="0"/>
    <x v="8"/>
    <n v="40"/>
    <s v="Male"/>
    <x v="0"/>
    <d v="2022-04-16T00:00:00"/>
    <x v="3"/>
    <s v="Cancelled"/>
    <n v="29"/>
    <x v="28"/>
    <n v="116568"/>
    <s v="Online"/>
    <n v="3380472"/>
    <n v="104911.2"/>
  </r>
  <r>
    <x v="1"/>
    <x v="7"/>
    <x v="6"/>
    <x v="0"/>
    <x v="0"/>
    <x v="9"/>
    <n v="33"/>
    <s v="Male"/>
    <x v="1"/>
    <d v="2023-08-12T00:00:00"/>
    <x v="3"/>
    <s v="Cancelled"/>
    <n v="22"/>
    <x v="9"/>
    <n v="53736"/>
    <s v="Cash"/>
    <n v="1182192"/>
    <n v="36943.5"/>
  </r>
  <r>
    <x v="1"/>
    <x v="8"/>
    <x v="0"/>
    <x v="0"/>
    <x v="0"/>
    <x v="10"/>
    <n v="31"/>
    <s v="Male"/>
    <x v="0"/>
    <d v="2023-05-24T00:00:00"/>
    <x v="5"/>
    <s v="Confirmed"/>
    <n v="10"/>
    <x v="36"/>
    <n v="219168"/>
    <s v="Debit Card"/>
    <n v="2191680"/>
    <n v="17122.5"/>
  </r>
  <r>
    <x v="0"/>
    <x v="8"/>
    <x v="5"/>
    <x v="4"/>
    <x v="4"/>
    <x v="11"/>
    <n v="61"/>
    <s v="Male"/>
    <x v="1"/>
    <d v="2022-05-31T00:00:00"/>
    <x v="4"/>
    <s v="Pending"/>
    <n v="28"/>
    <x v="2"/>
    <n v="2690"/>
    <s v="Debit Card"/>
    <n v="75320"/>
    <n v="54876"/>
  </r>
  <r>
    <x v="0"/>
    <x v="9"/>
    <x v="5"/>
    <x v="4"/>
    <x v="4"/>
    <x v="12"/>
    <n v="32"/>
    <s v="Male"/>
    <x v="0"/>
    <d v="2022-11-04T00:00:00"/>
    <x v="4"/>
    <s v="Pending"/>
    <n v="1"/>
    <x v="10"/>
    <n v="2458"/>
    <s v="Online"/>
    <n v="2458"/>
    <n v="1474.8"/>
  </r>
  <r>
    <x v="1"/>
    <x v="6"/>
    <x v="7"/>
    <x v="0"/>
    <x v="0"/>
    <x v="13"/>
    <n v="72"/>
    <s v="Female"/>
    <x v="0"/>
    <d v="2023-03-14T00:00:00"/>
    <x v="2"/>
    <s v="Pending"/>
    <n v="4"/>
    <x v="17"/>
    <n v="2398"/>
    <s v="Credit Card"/>
    <n v="9592"/>
    <n v="5755.2"/>
  </r>
  <r>
    <x v="0"/>
    <x v="2"/>
    <x v="2"/>
    <x v="2"/>
    <x v="6"/>
    <x v="14"/>
    <n v="21"/>
    <s v="Female"/>
    <x v="1"/>
    <d v="2022-06-09T00:00:00"/>
    <x v="1"/>
    <s v="Confirmed"/>
    <n v="20"/>
    <x v="0"/>
    <n v="26016"/>
    <s v="Online"/>
    <n v="520320"/>
    <n v="26341.200000000001"/>
  </r>
  <r>
    <x v="1"/>
    <x v="5"/>
    <x v="2"/>
    <x v="2"/>
    <x v="6"/>
    <x v="15"/>
    <n v="22"/>
    <s v="Male"/>
    <x v="0"/>
    <d v="2023-09-15T00:00:00"/>
    <x v="0"/>
    <s v="Cancelled"/>
    <n v="22"/>
    <x v="0"/>
    <n v="7380"/>
    <s v="Online"/>
    <n v="162360"/>
    <n v="121770"/>
  </r>
  <r>
    <x v="1"/>
    <x v="8"/>
    <x v="2"/>
    <x v="2"/>
    <x v="6"/>
    <x v="16"/>
    <n v="56"/>
    <s v="Female"/>
    <x v="0"/>
    <d v="2023-05-16T00:00:00"/>
    <x v="1"/>
    <s v="Cancelled"/>
    <n v="25"/>
    <x v="6"/>
    <n v="42008"/>
    <s v="Credit Card"/>
    <n v="1050200"/>
    <n v="97668.599999999991"/>
  </r>
  <r>
    <x v="1"/>
    <x v="4"/>
    <x v="2"/>
    <x v="2"/>
    <x v="6"/>
    <x v="17"/>
    <n v="56"/>
    <s v="Female"/>
    <x v="0"/>
    <d v="2023-12-02T00:00:00"/>
    <x v="2"/>
    <s v="Confirmed"/>
    <n v="38"/>
    <x v="15"/>
    <n v="5517"/>
    <s v="Debit Card"/>
    <n v="209646"/>
    <n v="122477.4"/>
  </r>
  <r>
    <x v="1"/>
    <x v="9"/>
    <x v="2"/>
    <x v="2"/>
    <x v="6"/>
    <x v="18"/>
    <n v="52"/>
    <s v="Male"/>
    <x v="0"/>
    <d v="2023-11-19T00:00:00"/>
    <x v="2"/>
    <s v="Cancelled"/>
    <n v="24"/>
    <x v="3"/>
    <n v="8790"/>
    <s v="Credit Card"/>
    <n v="210960"/>
    <n v="152946"/>
  </r>
  <r>
    <x v="1"/>
    <x v="9"/>
    <x v="2"/>
    <x v="2"/>
    <x v="6"/>
    <x v="19"/>
    <n v="64"/>
    <s v="Female"/>
    <x v="0"/>
    <d v="2023-11-13T00:00:00"/>
    <x v="2"/>
    <s v="Confirmed"/>
    <n v="27"/>
    <x v="22"/>
    <n v="6681"/>
    <s v="Cash"/>
    <n v="180387"/>
    <n v="132283.79999999999"/>
  </r>
  <r>
    <x v="1"/>
    <x v="4"/>
    <x v="2"/>
    <x v="2"/>
    <x v="6"/>
    <x v="20"/>
    <n v="22"/>
    <s v="Female"/>
    <x v="0"/>
    <d v="2023-12-31T00:00:00"/>
    <x v="1"/>
    <s v="Confirmed"/>
    <n v="16"/>
    <x v="21"/>
    <n v="33680"/>
    <s v="Credit Card"/>
    <n v="538880"/>
    <n v="71991"/>
  </r>
  <r>
    <x v="0"/>
    <x v="0"/>
    <x v="2"/>
    <x v="2"/>
    <x v="6"/>
    <x v="21"/>
    <n v="49"/>
    <s v="Male"/>
    <x v="0"/>
    <d v="2022-01-23T00:00:00"/>
    <x v="6"/>
    <s v="Confirmed"/>
    <n v="37"/>
    <x v="12"/>
    <n v="161408"/>
    <s v="Online"/>
    <n v="5972096"/>
    <n v="43882.799999999996"/>
  </r>
  <r>
    <x v="1"/>
    <x v="6"/>
    <x v="2"/>
    <x v="2"/>
    <x v="6"/>
    <x v="22"/>
    <n v="46"/>
    <s v="Male"/>
    <x v="0"/>
    <d v="2023-03-04T00:00:00"/>
    <x v="3"/>
    <s v="Confirmed"/>
    <n v="22"/>
    <x v="24"/>
    <n v="114744"/>
    <s v="Online"/>
    <n v="2524368"/>
    <n v="58806.299999999996"/>
  </r>
  <r>
    <x v="1"/>
    <x v="5"/>
    <x v="1"/>
    <x v="0"/>
    <x v="7"/>
    <x v="23"/>
    <n v="60"/>
    <s v="Male"/>
    <x v="0"/>
    <d v="2023-09-02T00:00:00"/>
    <x v="3"/>
    <s v="Pending"/>
    <n v="43"/>
    <x v="21"/>
    <n v="93888"/>
    <s v="Debit Card"/>
    <n v="4037184"/>
    <n v="96235.199999999997"/>
  </r>
  <r>
    <x v="0"/>
    <x v="7"/>
    <x v="7"/>
    <x v="0"/>
    <x v="7"/>
    <x v="24"/>
    <n v="56"/>
    <s v="Male"/>
    <x v="1"/>
    <d v="2022-08-13T00:00:00"/>
    <x v="4"/>
    <s v="Pending"/>
    <n v="20"/>
    <x v="23"/>
    <n v="2344"/>
    <s v="Online"/>
    <n v="46880"/>
    <n v="44301.599999999999"/>
  </r>
  <r>
    <x v="1"/>
    <x v="7"/>
    <x v="6"/>
    <x v="0"/>
    <x v="7"/>
    <x v="25"/>
    <n v="26"/>
    <s v="Male"/>
    <x v="1"/>
    <d v="2023-08-10T00:00:00"/>
    <x v="0"/>
    <s v="Cancelled"/>
    <n v="28"/>
    <x v="13"/>
    <n v="7802"/>
    <s v="Online"/>
    <n v="218456"/>
    <n v="16384.2"/>
  </r>
  <r>
    <x v="1"/>
    <x v="10"/>
    <x v="2"/>
    <x v="0"/>
    <x v="7"/>
    <x v="26"/>
    <n v="62"/>
    <s v="Female"/>
    <x v="0"/>
    <d v="2023-07-18T00:00:00"/>
    <x v="1"/>
    <s v="Confirmed"/>
    <n v="24"/>
    <x v="21"/>
    <n v="26616"/>
    <s v="Online"/>
    <n v="638784"/>
    <n v="58887.9"/>
  </r>
  <r>
    <x v="0"/>
    <x v="6"/>
    <x v="2"/>
    <x v="0"/>
    <x v="7"/>
    <x v="27"/>
    <n v="40"/>
    <s v="Male"/>
    <x v="1"/>
    <d v="2022-03-09T00:00:00"/>
    <x v="0"/>
    <s v="Cancelled"/>
    <n v="32"/>
    <x v="22"/>
    <n v="9387"/>
    <s v="Debit Card"/>
    <n v="300384"/>
    <n v="67586.399999999994"/>
  </r>
  <r>
    <x v="0"/>
    <x v="4"/>
    <x v="0"/>
    <x v="0"/>
    <x v="7"/>
    <x v="0"/>
    <n v="35"/>
    <s v="Male"/>
    <x v="0"/>
    <d v="2022-12-12T00:00:00"/>
    <x v="3"/>
    <s v="Pending"/>
    <n v="26"/>
    <x v="13"/>
    <n v="116352"/>
    <s v="Cash"/>
    <n v="3025152"/>
    <n v="91627.199999999997"/>
  </r>
  <r>
    <x v="0"/>
    <x v="4"/>
    <x v="5"/>
    <x v="0"/>
    <x v="7"/>
    <x v="1"/>
    <n v="63"/>
    <s v="Male"/>
    <x v="0"/>
    <d v="2022-12-31T00:00:00"/>
    <x v="3"/>
    <s v="Confirmed"/>
    <n v="38"/>
    <x v="8"/>
    <n v="132480"/>
    <s v="Online"/>
    <n v="5034240"/>
    <n v="157320"/>
  </r>
  <r>
    <x v="0"/>
    <x v="8"/>
    <x v="4"/>
    <x v="0"/>
    <x v="7"/>
    <x v="2"/>
    <n v="37"/>
    <s v="Male"/>
    <x v="0"/>
    <d v="2022-05-20T00:00:00"/>
    <x v="6"/>
    <s v="Pending"/>
    <n v="38"/>
    <x v="8"/>
    <n v="241984"/>
    <s v="Online"/>
    <n v="9195392"/>
    <n v="215517"/>
  </r>
  <r>
    <x v="0"/>
    <x v="1"/>
    <x v="5"/>
    <x v="0"/>
    <x v="7"/>
    <x v="3"/>
    <n v="40"/>
    <s v="Male"/>
    <x v="0"/>
    <d v="2022-04-16T00:00:00"/>
    <x v="3"/>
    <s v="Cancelled"/>
    <n v="29"/>
    <x v="28"/>
    <n v="116568"/>
    <s v="Online"/>
    <n v="3380472"/>
    <n v="104911.2"/>
  </r>
  <r>
    <x v="1"/>
    <x v="7"/>
    <x v="6"/>
    <x v="0"/>
    <x v="7"/>
    <x v="4"/>
    <n v="33"/>
    <s v="Male"/>
    <x v="1"/>
    <d v="2023-08-12T00:00:00"/>
    <x v="3"/>
    <s v="Cancelled"/>
    <n v="22"/>
    <x v="9"/>
    <n v="53736"/>
    <s v="Cash"/>
    <n v="1182192"/>
    <n v="36943.5"/>
  </r>
  <r>
    <x v="1"/>
    <x v="8"/>
    <x v="0"/>
    <x v="0"/>
    <x v="7"/>
    <x v="5"/>
    <n v="31"/>
    <s v="Male"/>
    <x v="1"/>
    <d v="2023-05-24T00:00:00"/>
    <x v="5"/>
    <s v="Confirmed"/>
    <n v="10"/>
    <x v="36"/>
    <n v="219168"/>
    <s v="Debit Card"/>
    <n v="2191680"/>
    <n v="17122.5"/>
  </r>
  <r>
    <x v="1"/>
    <x v="6"/>
    <x v="7"/>
    <x v="0"/>
    <x v="7"/>
    <x v="6"/>
    <n v="72"/>
    <s v="Female"/>
    <x v="0"/>
    <d v="2023-03-14T00:00:00"/>
    <x v="2"/>
    <s v="Pending"/>
    <n v="4"/>
    <x v="17"/>
    <n v="2398"/>
    <s v="Credit Card"/>
    <n v="9592"/>
    <n v="5755.2"/>
  </r>
  <r>
    <x v="0"/>
    <x v="6"/>
    <x v="0"/>
    <x v="5"/>
    <x v="8"/>
    <x v="7"/>
    <n v="64"/>
    <s v="Female"/>
    <x v="0"/>
    <d v="2022-03-26T00:00:00"/>
    <x v="0"/>
    <s v="Pending"/>
    <n v="26"/>
    <x v="4"/>
    <n v="3976"/>
    <s v="Cash"/>
    <n v="103376"/>
    <n v="75146.399999999994"/>
  </r>
  <r>
    <x v="0"/>
    <x v="7"/>
    <x v="1"/>
    <x v="5"/>
    <x v="8"/>
    <x v="8"/>
    <n v="22"/>
    <s v="Male"/>
    <x v="1"/>
    <d v="2022-08-09T00:00:00"/>
    <x v="1"/>
    <s v="Cancelled"/>
    <n v="38"/>
    <x v="5"/>
    <n v="35248"/>
    <s v="Credit Card"/>
    <n v="1339424"/>
    <n v="91204.2"/>
  </r>
  <r>
    <x v="1"/>
    <x v="8"/>
    <x v="2"/>
    <x v="5"/>
    <x v="8"/>
    <x v="9"/>
    <n v="49"/>
    <s v="Female"/>
    <x v="0"/>
    <d v="2023-05-16T00:00:00"/>
    <x v="1"/>
    <s v="Cancelled"/>
    <n v="25"/>
    <x v="6"/>
    <n v="42008"/>
    <s v="Credit Card"/>
    <n v="1050200"/>
    <n v="97668.599999999991"/>
  </r>
  <r>
    <x v="0"/>
    <x v="0"/>
    <x v="3"/>
    <x v="5"/>
    <x v="8"/>
    <x v="10"/>
    <n v="46"/>
    <s v="Female"/>
    <x v="0"/>
    <d v="2022-01-15T00:00:00"/>
    <x v="3"/>
    <s v="Pending"/>
    <n v="16"/>
    <x v="7"/>
    <n v="220104"/>
    <s v="Debit Card"/>
    <n v="3521664"/>
    <n v="104549.4"/>
  </r>
  <r>
    <x v="0"/>
    <x v="3"/>
    <x v="0"/>
    <x v="5"/>
    <x v="8"/>
    <x v="11"/>
    <n v="38"/>
    <s v="Female"/>
    <x v="0"/>
    <d v="2022-10-16T00:00:00"/>
    <x v="4"/>
    <s v="Pending"/>
    <n v="38"/>
    <x v="8"/>
    <n v="9707"/>
    <s v="Debit Card"/>
    <n v="368866"/>
    <n v="270825.3"/>
  </r>
  <r>
    <x v="1"/>
    <x v="5"/>
    <x v="0"/>
    <x v="5"/>
    <x v="8"/>
    <x v="12"/>
    <n v="45"/>
    <s v="Female"/>
    <x v="0"/>
    <d v="2023-09-13T00:00:00"/>
    <x v="0"/>
    <s v="Pending"/>
    <n v="24"/>
    <x v="9"/>
    <n v="340"/>
    <s v="Online"/>
    <n v="8160"/>
    <n v="6018"/>
  </r>
  <r>
    <x v="1"/>
    <x v="2"/>
    <x v="1"/>
    <x v="5"/>
    <x v="8"/>
    <x v="13"/>
    <n v="35"/>
    <s v="Male"/>
    <x v="1"/>
    <d v="2023-06-18T00:00:00"/>
    <x v="5"/>
    <s v="Cancelled"/>
    <n v="27"/>
    <x v="6"/>
    <n v="76704"/>
    <s v="Cash"/>
    <n v="2071008"/>
    <n v="86702.7"/>
  </r>
  <r>
    <x v="0"/>
    <x v="9"/>
    <x v="4"/>
    <x v="5"/>
    <x v="8"/>
    <x v="14"/>
    <n v="56"/>
    <s v="Female"/>
    <x v="1"/>
    <d v="2022-11-27T00:00:00"/>
    <x v="3"/>
    <s v="Confirmed"/>
    <n v="34"/>
    <x v="10"/>
    <n v="17304"/>
    <s v="Online"/>
    <n v="588336"/>
    <n v="17952.899999999998"/>
  </r>
  <r>
    <x v="1"/>
    <x v="3"/>
    <x v="0"/>
    <x v="5"/>
    <x v="8"/>
    <x v="15"/>
    <n v="56"/>
    <s v="Female"/>
    <x v="0"/>
    <d v="2023-10-03T00:00:00"/>
    <x v="3"/>
    <s v="Cancelled"/>
    <n v="14"/>
    <x v="5"/>
    <n v="155856"/>
    <s v="Online"/>
    <n v="2181984"/>
    <n v="64290.6"/>
  </r>
  <r>
    <x v="0"/>
    <x v="3"/>
    <x v="0"/>
    <x v="5"/>
    <x v="8"/>
    <x v="16"/>
    <n v="55"/>
    <s v="Female"/>
    <x v="0"/>
    <d v="2022-10-26T00:00:00"/>
    <x v="4"/>
    <s v="Pending"/>
    <n v="21"/>
    <x v="11"/>
    <n v="1945"/>
    <s v="Cash"/>
    <n v="40845"/>
    <n v="19255.5"/>
  </r>
  <r>
    <x v="1"/>
    <x v="10"/>
    <x v="4"/>
    <x v="5"/>
    <x v="8"/>
    <x v="17"/>
    <n v="19"/>
    <s v="Female"/>
    <x v="1"/>
    <d v="2023-07-31T00:00:00"/>
    <x v="1"/>
    <s v="Confirmed"/>
    <n v="16"/>
    <x v="12"/>
    <n v="75528"/>
    <s v="Debit Card"/>
    <n v="1208448"/>
    <n v="107627.4"/>
  </r>
  <r>
    <x v="0"/>
    <x v="5"/>
    <x v="3"/>
    <x v="5"/>
    <x v="8"/>
    <x v="18"/>
    <n v="58"/>
    <s v="Female"/>
    <x v="0"/>
    <d v="2022-09-07T00:00:00"/>
    <x v="4"/>
    <s v="Pending"/>
    <n v="4"/>
    <x v="13"/>
    <n v="1683"/>
    <s v="Debit Card"/>
    <n v="6732"/>
    <n v="19691.099999999999"/>
  </r>
  <r>
    <x v="0"/>
    <x v="0"/>
    <x v="3"/>
    <x v="3"/>
    <x v="9"/>
    <x v="19"/>
    <n v="46"/>
    <s v="Female"/>
    <x v="1"/>
    <d v="2022-01-15T00:00:00"/>
    <x v="3"/>
    <s v="Pending"/>
    <n v="8"/>
    <x v="7"/>
    <n v="220104"/>
    <s v="Debit Card"/>
    <n v="1760832"/>
    <n v="104549.4"/>
  </r>
  <r>
    <x v="0"/>
    <x v="5"/>
    <x v="3"/>
    <x v="3"/>
    <x v="9"/>
    <x v="20"/>
    <n v="58"/>
    <s v="Female"/>
    <x v="1"/>
    <d v="2022-09-07T00:00:00"/>
    <x v="4"/>
    <s v="Pending"/>
    <n v="8"/>
    <x v="13"/>
    <n v="1683"/>
    <s v="Debit Card"/>
    <n v="13464"/>
    <n v="19691.099999999999"/>
  </r>
  <r>
    <x v="0"/>
    <x v="7"/>
    <x v="7"/>
    <x v="3"/>
    <x v="9"/>
    <x v="21"/>
    <n v="54"/>
    <s v="Female"/>
    <x v="1"/>
    <d v="2022-08-03T00:00:00"/>
    <x v="5"/>
    <s v="Confirmed"/>
    <n v="28"/>
    <x v="0"/>
    <n v="52768"/>
    <s v="Debit Card"/>
    <n v="1477504"/>
    <n v="117463.2"/>
  </r>
  <r>
    <x v="1"/>
    <x v="2"/>
    <x v="7"/>
    <x v="3"/>
    <x v="9"/>
    <x v="22"/>
    <n v="68"/>
    <s v="Male"/>
    <x v="0"/>
    <d v="2023-06-22T00:00:00"/>
    <x v="5"/>
    <s v="Cancelled"/>
    <n v="28"/>
    <x v="7"/>
    <n v="23616"/>
    <s v="Cash"/>
    <n v="661248"/>
    <n v="31350.3"/>
  </r>
  <r>
    <x v="0"/>
    <x v="2"/>
    <x v="7"/>
    <x v="3"/>
    <x v="9"/>
    <x v="23"/>
    <n v="52"/>
    <s v="Male"/>
    <x v="0"/>
    <d v="2022-06-26T00:00:00"/>
    <x v="2"/>
    <s v="Cancelled"/>
    <n v="15"/>
    <x v="1"/>
    <n v="8278"/>
    <s v="Online"/>
    <n v="124170"/>
    <n v="89402.4"/>
  </r>
  <r>
    <x v="0"/>
    <x v="5"/>
    <x v="3"/>
    <x v="3"/>
    <x v="9"/>
    <x v="24"/>
    <n v="27"/>
    <s v="Male"/>
    <x v="1"/>
    <d v="2022-09-20T00:00:00"/>
    <x v="5"/>
    <s v="Confirmed"/>
    <n v="13"/>
    <x v="29"/>
    <n v="119616"/>
    <s v="Cash"/>
    <n v="1555008"/>
    <n v="11587.8"/>
  </r>
  <r>
    <x v="0"/>
    <x v="0"/>
    <x v="3"/>
    <x v="3"/>
    <x v="10"/>
    <x v="25"/>
    <n v="46"/>
    <s v="Female"/>
    <x v="1"/>
    <d v="2022-01-15T00:00:00"/>
    <x v="3"/>
    <s v="Pending"/>
    <n v="16"/>
    <x v="7"/>
    <n v="220104"/>
    <s v="Debit Card"/>
    <n v="3521664"/>
    <n v="104549.4"/>
  </r>
  <r>
    <x v="0"/>
    <x v="5"/>
    <x v="3"/>
    <x v="3"/>
    <x v="10"/>
    <x v="26"/>
    <n v="58"/>
    <s v="Female"/>
    <x v="0"/>
    <d v="2022-09-07T00:00:00"/>
    <x v="4"/>
    <s v="Pending"/>
    <n v="16"/>
    <x v="13"/>
    <n v="1683"/>
    <s v="Debit Card"/>
    <n v="26928"/>
    <n v="19691.099999999999"/>
  </r>
  <r>
    <x v="0"/>
    <x v="7"/>
    <x v="7"/>
    <x v="3"/>
    <x v="10"/>
    <x v="27"/>
    <n v="54"/>
    <s v="Female"/>
    <x v="1"/>
    <d v="2022-08-03T00:00:00"/>
    <x v="5"/>
    <s v="Confirmed"/>
    <n v="28"/>
    <x v="0"/>
    <n v="52768"/>
    <s v="Debit Card"/>
    <n v="1477504"/>
    <n v="117463.2"/>
  </r>
  <r>
    <x v="1"/>
    <x v="2"/>
    <x v="7"/>
    <x v="3"/>
    <x v="10"/>
    <x v="0"/>
    <n v="68"/>
    <s v="Male"/>
    <x v="0"/>
    <d v="2023-06-22T00:00:00"/>
    <x v="5"/>
    <s v="Cancelled"/>
    <n v="16"/>
    <x v="7"/>
    <n v="23616"/>
    <s v="Cash"/>
    <n v="377856"/>
    <n v="31350.3"/>
  </r>
  <r>
    <x v="0"/>
    <x v="2"/>
    <x v="7"/>
    <x v="3"/>
    <x v="10"/>
    <x v="1"/>
    <n v="52"/>
    <s v="Male"/>
    <x v="1"/>
    <d v="2022-06-26T00:00:00"/>
    <x v="2"/>
    <s v="Cancelled"/>
    <n v="15"/>
    <x v="1"/>
    <n v="8278"/>
    <s v="Online"/>
    <n v="124170"/>
    <n v="89402.4"/>
  </r>
  <r>
    <x v="0"/>
    <x v="5"/>
    <x v="3"/>
    <x v="3"/>
    <x v="10"/>
    <x v="2"/>
    <n v="27"/>
    <s v="Male"/>
    <x v="1"/>
    <d v="2022-09-20T00:00:00"/>
    <x v="5"/>
    <s v="Confirmed"/>
    <n v="6"/>
    <x v="29"/>
    <n v="119616"/>
    <s v="Cash"/>
    <n v="717696"/>
    <n v="11587.8"/>
  </r>
  <r>
    <x v="0"/>
    <x v="0"/>
    <x v="3"/>
    <x v="3"/>
    <x v="10"/>
    <x v="3"/>
    <n v="46"/>
    <s v="Female"/>
    <x v="0"/>
    <d v="2022-01-15T00:00:00"/>
    <x v="3"/>
    <s v="Pending"/>
    <n v="16"/>
    <x v="7"/>
    <n v="220104"/>
    <s v="Debit Card"/>
    <n v="3521664"/>
    <n v="104549.4"/>
  </r>
  <r>
    <x v="0"/>
    <x v="5"/>
    <x v="3"/>
    <x v="3"/>
    <x v="10"/>
    <x v="4"/>
    <n v="58"/>
    <s v="Female"/>
    <x v="1"/>
    <d v="2022-09-07T00:00:00"/>
    <x v="4"/>
    <s v="Pending"/>
    <n v="16"/>
    <x v="13"/>
    <n v="1683"/>
    <s v="Debit Card"/>
    <n v="26928"/>
    <n v="19691.099999999999"/>
  </r>
  <r>
    <x v="0"/>
    <x v="7"/>
    <x v="7"/>
    <x v="3"/>
    <x v="10"/>
    <x v="5"/>
    <n v="54"/>
    <s v="Female"/>
    <x v="1"/>
    <d v="2022-08-03T00:00:00"/>
    <x v="5"/>
    <s v="Confirmed"/>
    <n v="28"/>
    <x v="0"/>
    <n v="252768"/>
    <s v="Debit Card"/>
    <n v="7077504"/>
    <n v="117463.2"/>
  </r>
  <r>
    <x v="1"/>
    <x v="2"/>
    <x v="7"/>
    <x v="3"/>
    <x v="10"/>
    <x v="6"/>
    <n v="68"/>
    <s v="Male"/>
    <x v="0"/>
    <d v="2023-06-22T00:00:00"/>
    <x v="5"/>
    <s v="Cancelled"/>
    <n v="28"/>
    <x v="7"/>
    <n v="223616"/>
    <s v="Cash"/>
    <n v="6261248"/>
    <n v="31350.3"/>
  </r>
  <r>
    <x v="0"/>
    <x v="2"/>
    <x v="7"/>
    <x v="3"/>
    <x v="10"/>
    <x v="7"/>
    <n v="52"/>
    <s v="Male"/>
    <x v="0"/>
    <d v="2022-06-26T00:00:00"/>
    <x v="2"/>
    <s v="Cancelled"/>
    <n v="15"/>
    <x v="1"/>
    <n v="8278"/>
    <s v="Online"/>
    <n v="124170"/>
    <n v="89402.4"/>
  </r>
  <r>
    <x v="0"/>
    <x v="5"/>
    <x v="3"/>
    <x v="3"/>
    <x v="10"/>
    <x v="8"/>
    <n v="27"/>
    <s v="Male"/>
    <x v="0"/>
    <d v="2022-09-20T00:00:00"/>
    <x v="5"/>
    <s v="Confirmed"/>
    <n v="12"/>
    <x v="29"/>
    <n v="119616"/>
    <s v="Cash"/>
    <n v="1435392"/>
    <n v="11587.8"/>
  </r>
  <r>
    <x v="0"/>
    <x v="1"/>
    <x v="1"/>
    <x v="1"/>
    <x v="11"/>
    <x v="9"/>
    <n v="21"/>
    <s v="Male"/>
    <x v="0"/>
    <d v="2022-04-23T00:00:00"/>
    <x v="0"/>
    <s v="Pending"/>
    <n v="26"/>
    <x v="1"/>
    <n v="3928"/>
    <s v="Credit Card"/>
    <n v="102128"/>
    <n v="44779.199999999997"/>
  </r>
  <r>
    <x v="0"/>
    <x v="4"/>
    <x v="1"/>
    <x v="1"/>
    <x v="11"/>
    <x v="10"/>
    <n v="56"/>
    <s v="Female"/>
    <x v="0"/>
    <d v="2022-12-19T00:00:00"/>
    <x v="3"/>
    <s v="Pending"/>
    <n v="47"/>
    <x v="3"/>
    <n v="173568"/>
    <s v="Cash"/>
    <n v="8157696"/>
    <n v="197433.60000000001"/>
  </r>
  <r>
    <x v="0"/>
    <x v="7"/>
    <x v="1"/>
    <x v="1"/>
    <x v="11"/>
    <x v="11"/>
    <n v="22"/>
    <s v="Male"/>
    <x v="0"/>
    <d v="2022-08-09T00:00:00"/>
    <x v="1"/>
    <s v="Cancelled"/>
    <n v="38"/>
    <x v="5"/>
    <n v="35248"/>
    <s v="Credit Card"/>
    <n v="1339424"/>
    <n v="91204.2"/>
  </r>
  <r>
    <x v="1"/>
    <x v="2"/>
    <x v="1"/>
    <x v="1"/>
    <x v="11"/>
    <x v="12"/>
    <n v="35"/>
    <s v="Male"/>
    <x v="0"/>
    <d v="2023-06-18T00:00:00"/>
    <x v="5"/>
    <s v="Cancelled"/>
    <n v="27"/>
    <x v="6"/>
    <n v="76704"/>
    <s v="Cash"/>
    <n v="2071008"/>
    <n v="86702.7"/>
  </r>
  <r>
    <x v="0"/>
    <x v="9"/>
    <x v="1"/>
    <x v="1"/>
    <x v="11"/>
    <x v="13"/>
    <n v="20"/>
    <s v="Male"/>
    <x v="0"/>
    <d v="2022-11-01T00:00:00"/>
    <x v="2"/>
    <s v="Pending"/>
    <n v="19"/>
    <x v="31"/>
    <n v="7364"/>
    <s v="Online"/>
    <n v="139916"/>
    <n v="46393.2"/>
  </r>
  <r>
    <x v="0"/>
    <x v="1"/>
    <x v="1"/>
    <x v="1"/>
    <x v="11"/>
    <x v="14"/>
    <n v="21"/>
    <s v="Male"/>
    <x v="0"/>
    <d v="2022-04-23T00:00:00"/>
    <x v="0"/>
    <s v="Pending"/>
    <n v="26"/>
    <x v="1"/>
    <n v="3928"/>
    <s v="Credit Card"/>
    <n v="102128"/>
    <n v="44779.199999999997"/>
  </r>
  <r>
    <x v="0"/>
    <x v="4"/>
    <x v="1"/>
    <x v="1"/>
    <x v="11"/>
    <x v="15"/>
    <n v="56"/>
    <s v="Female"/>
    <x v="0"/>
    <d v="2022-12-19T00:00:00"/>
    <x v="3"/>
    <s v="Pending"/>
    <n v="47"/>
    <x v="3"/>
    <n v="173568"/>
    <s v="Cash"/>
    <n v="8157696"/>
    <n v="197433.60000000001"/>
  </r>
  <r>
    <x v="0"/>
    <x v="7"/>
    <x v="1"/>
    <x v="1"/>
    <x v="11"/>
    <x v="16"/>
    <n v="22"/>
    <s v="Male"/>
    <x v="1"/>
    <d v="2022-08-09T00:00:00"/>
    <x v="1"/>
    <s v="Cancelled"/>
    <n v="38"/>
    <x v="5"/>
    <n v="35248"/>
    <s v="Credit Card"/>
    <n v="1339424"/>
    <n v="91204.2"/>
  </r>
  <r>
    <x v="1"/>
    <x v="2"/>
    <x v="1"/>
    <x v="1"/>
    <x v="11"/>
    <x v="17"/>
    <n v="35"/>
    <s v="Male"/>
    <x v="1"/>
    <d v="2023-06-18T00:00:00"/>
    <x v="5"/>
    <s v="Cancelled"/>
    <n v="27"/>
    <x v="6"/>
    <n v="76704"/>
    <s v="Cash"/>
    <n v="2071008"/>
    <n v="86702.7"/>
  </r>
  <r>
    <x v="0"/>
    <x v="9"/>
    <x v="1"/>
    <x v="1"/>
    <x v="11"/>
    <x v="18"/>
    <n v="20"/>
    <s v="Male"/>
    <x v="0"/>
    <d v="2022-11-01T00:00:00"/>
    <x v="2"/>
    <s v="Pending"/>
    <n v="19"/>
    <x v="31"/>
    <n v="7364"/>
    <s v="Online"/>
    <n v="139916"/>
    <n v="46393.2"/>
  </r>
  <r>
    <x v="0"/>
    <x v="11"/>
    <x v="0"/>
    <x v="0"/>
    <x v="0"/>
    <x v="0"/>
    <n v="37"/>
    <s v="Female"/>
    <x v="0"/>
    <d v="2022-02-09T00:00:00"/>
    <x v="0"/>
    <s v="Cancelled"/>
    <n v="16"/>
    <x v="7"/>
    <n v="4867"/>
    <s v="Online"/>
    <n v="43803"/>
    <n v="32122.199999999997"/>
  </r>
  <r>
    <x v="0"/>
    <x v="11"/>
    <x v="3"/>
    <x v="3"/>
    <x v="3"/>
    <x v="9"/>
    <n v="46"/>
    <s v="Female"/>
    <x v="1"/>
    <d v="2022-02-15T00:00:00"/>
    <x v="3"/>
    <s v="Pending"/>
    <n v="16"/>
    <x v="7"/>
    <n v="20104"/>
    <s v="Debit Card"/>
    <n v="321664"/>
    <n v="104549.4"/>
  </r>
  <r>
    <x v="0"/>
    <x v="11"/>
    <x v="4"/>
    <x v="4"/>
    <x v="4"/>
    <x v="22"/>
    <n v="21"/>
    <s v="Female"/>
    <x v="0"/>
    <d v="2022-02-25T00:00:00"/>
    <x v="3"/>
    <s v="Cancelled"/>
    <n v="38"/>
    <x v="11"/>
    <n v="6456"/>
    <s v="Cash"/>
    <n v="245328"/>
    <n v="216755.1"/>
  </r>
  <r>
    <x v="0"/>
    <x v="11"/>
    <x v="2"/>
    <x v="2"/>
    <x v="2"/>
    <x v="6"/>
    <n v="68"/>
    <s v="Male"/>
    <x v="0"/>
    <d v="2022-02-23T00:00:00"/>
    <x v="6"/>
    <s v="Confirmed"/>
    <n v="76"/>
    <x v="12"/>
    <n v="161408"/>
    <s v="Online"/>
    <n v="12267008"/>
    <n v="43882.799999999996"/>
  </r>
  <r>
    <x v="0"/>
    <x v="11"/>
    <x v="2"/>
    <x v="2"/>
    <x v="6"/>
    <x v="21"/>
    <n v="49"/>
    <s v="Male"/>
    <x v="0"/>
    <d v="2022-02-23T00:00:00"/>
    <x v="6"/>
    <s v="Confirmed"/>
    <n v="37"/>
    <x v="12"/>
    <n v="161408"/>
    <s v="Online"/>
    <n v="5972096"/>
    <n v="43882.799999999996"/>
  </r>
  <r>
    <x v="0"/>
    <x v="11"/>
    <x v="3"/>
    <x v="5"/>
    <x v="8"/>
    <x v="10"/>
    <n v="46"/>
    <s v="Female"/>
    <x v="0"/>
    <d v="2022-02-15T00:00:00"/>
    <x v="3"/>
    <s v="Pending"/>
    <n v="16"/>
    <x v="7"/>
    <n v="220104"/>
    <s v="Debit Card"/>
    <n v="3521664"/>
    <n v="104549.4"/>
  </r>
  <r>
    <x v="0"/>
    <x v="11"/>
    <x v="3"/>
    <x v="3"/>
    <x v="9"/>
    <x v="19"/>
    <n v="46"/>
    <s v="Female"/>
    <x v="1"/>
    <d v="2022-02-15T00:00:00"/>
    <x v="3"/>
    <s v="Pending"/>
    <n v="8"/>
    <x v="7"/>
    <n v="220104"/>
    <s v="Debit Card"/>
    <n v="1760832"/>
    <n v="104549.4"/>
  </r>
  <r>
    <x v="0"/>
    <x v="11"/>
    <x v="3"/>
    <x v="3"/>
    <x v="10"/>
    <x v="25"/>
    <n v="46"/>
    <s v="Female"/>
    <x v="1"/>
    <d v="2022-02-15T00:00:00"/>
    <x v="3"/>
    <s v="Pending"/>
    <n v="16"/>
    <x v="7"/>
    <n v="220104"/>
    <s v="Debit Card"/>
    <n v="3521664"/>
    <n v="104549.4"/>
  </r>
  <r>
    <x v="0"/>
    <x v="11"/>
    <x v="3"/>
    <x v="3"/>
    <x v="10"/>
    <x v="3"/>
    <n v="46"/>
    <s v="Female"/>
    <x v="0"/>
    <d v="2022-02-15T00:00:00"/>
    <x v="3"/>
    <s v="Pending"/>
    <n v="16"/>
    <x v="7"/>
    <n v="220104"/>
    <s v="Debit Card"/>
    <n v="3521664"/>
    <n v="104549.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B0A0ADE-DD20-4E4C-B21F-704DC91544DD}" name="PivotTable14"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hotel name">
  <location ref="A51:A52" firstHeaderRow="1" firstDataRow="1" firstDataCol="0"/>
  <pivotFields count="18">
    <pivotField showAll="0">
      <items count="3">
        <item x="0"/>
        <item x="1"/>
        <item t="default"/>
      </items>
    </pivotField>
    <pivotField showAll="0"/>
    <pivotField showAll="0">
      <items count="9">
        <item x="3"/>
        <item x="1"/>
        <item x="7"/>
        <item x="6"/>
        <item x="2"/>
        <item x="0"/>
        <item x="4"/>
        <item x="5"/>
        <item t="default"/>
      </items>
    </pivotField>
    <pivotField showAll="0"/>
    <pivotField showAll="0"/>
    <pivotField showAll="0"/>
    <pivotField showAll="0"/>
    <pivotField showAll="0"/>
    <pivotField showAll="0"/>
    <pivotField numFmtId="14" showAll="0"/>
    <pivotField showAll="0"/>
    <pivotField showAll="0"/>
    <pivotField dataField="1" showAll="0"/>
    <pivotField showAll="0">
      <items count="38">
        <item x="33"/>
        <item x="34"/>
        <item x="9"/>
        <item x="24"/>
        <item x="20"/>
        <item x="14"/>
        <item x="27"/>
        <item x="2"/>
        <item x="17"/>
        <item x="11"/>
        <item x="23"/>
        <item x="32"/>
        <item x="10"/>
        <item x="28"/>
        <item x="16"/>
        <item x="7"/>
        <item x="25"/>
        <item x="21"/>
        <item x="5"/>
        <item x="1"/>
        <item x="29"/>
        <item x="19"/>
        <item x="6"/>
        <item x="12"/>
        <item x="18"/>
        <item x="30"/>
        <item x="15"/>
        <item x="4"/>
        <item x="8"/>
        <item x="35"/>
        <item x="36"/>
        <item x="22"/>
        <item x="13"/>
        <item x="26"/>
        <item x="3"/>
        <item x="0"/>
        <item x="31"/>
        <item t="default"/>
      </items>
    </pivotField>
    <pivotField showAll="0"/>
    <pivotField showAll="0"/>
    <pivotField showAll="0"/>
    <pivotField numFmtId="165" showAll="0"/>
  </pivotFields>
  <rowItems count="1">
    <i/>
  </rowItems>
  <colItems count="1">
    <i/>
  </colItems>
  <dataFields count="1">
    <dataField name="Sum of Room Booked"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FFE3F60-35AB-41A3-B5A2-3AD547E59A78}" name="PivotTable13"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hotel name">
  <location ref="A48:A49" firstHeaderRow="1" firstDataRow="1" firstDataCol="0"/>
  <pivotFields count="18">
    <pivotField showAll="0">
      <items count="3">
        <item x="0"/>
        <item x="1"/>
        <item t="default"/>
      </items>
    </pivotField>
    <pivotField showAll="0"/>
    <pivotField showAll="0">
      <items count="9">
        <item x="3"/>
        <item x="1"/>
        <item x="7"/>
        <item x="6"/>
        <item x="2"/>
        <item x="0"/>
        <item x="4"/>
        <item x="5"/>
        <item t="default"/>
      </items>
    </pivotField>
    <pivotField showAll="0"/>
    <pivotField showAll="0"/>
    <pivotField showAll="0"/>
    <pivotField showAll="0"/>
    <pivotField showAll="0"/>
    <pivotField showAll="0"/>
    <pivotField numFmtId="14" showAll="0"/>
    <pivotField showAll="0"/>
    <pivotField showAll="0"/>
    <pivotField showAll="0"/>
    <pivotField dataField="1" showAll="0">
      <items count="38">
        <item x="33"/>
        <item x="34"/>
        <item x="9"/>
        <item x="24"/>
        <item x="20"/>
        <item x="14"/>
        <item x="27"/>
        <item x="2"/>
        <item x="17"/>
        <item x="11"/>
        <item x="23"/>
        <item x="32"/>
        <item x="10"/>
        <item x="28"/>
        <item x="16"/>
        <item x="7"/>
        <item x="25"/>
        <item x="21"/>
        <item x="5"/>
        <item x="1"/>
        <item x="29"/>
        <item x="19"/>
        <item x="6"/>
        <item x="12"/>
        <item x="18"/>
        <item x="30"/>
        <item x="15"/>
        <item x="4"/>
        <item x="8"/>
        <item x="35"/>
        <item x="36"/>
        <item x="22"/>
        <item x="13"/>
        <item x="26"/>
        <item x="3"/>
        <item x="0"/>
        <item x="31"/>
        <item t="default"/>
      </items>
    </pivotField>
    <pivotField showAll="0"/>
    <pivotField showAll="0"/>
    <pivotField showAll="0"/>
    <pivotField numFmtId="165" showAll="0"/>
  </pivotFields>
  <rowItems count="1">
    <i/>
  </rowItems>
  <colItems count="1">
    <i/>
  </colItems>
  <dataFields count="1">
    <dataField name="Sum of Room Available" fld="13" baseField="0" baseItem="0" numFmtId="16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1A1546D-8E86-471D-B474-9585987CCD97}" name="PivotTable12"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hotel name">
  <location ref="A45:A46" firstHeaderRow="1" firstDataRow="1" firstDataCol="0"/>
  <pivotFields count="18">
    <pivotField showAll="0">
      <items count="3">
        <item x="0"/>
        <item x="1"/>
        <item t="default"/>
      </items>
    </pivotField>
    <pivotField showAll="0"/>
    <pivotField showAll="0">
      <items count="9">
        <item x="3"/>
        <item x="1"/>
        <item x="7"/>
        <item x="6"/>
        <item x="2"/>
        <item x="0"/>
        <item x="4"/>
        <item x="5"/>
        <item t="default"/>
      </items>
    </pivotField>
    <pivotField showAll="0"/>
    <pivotField showAll="0"/>
    <pivotField showAll="0"/>
    <pivotField showAll="0"/>
    <pivotField showAll="0"/>
    <pivotField showAll="0"/>
    <pivotField numFmtId="14" showAll="0"/>
    <pivotField showAll="0"/>
    <pivotField showAll="0"/>
    <pivotField showAll="0"/>
    <pivotField dataField="1" showAll="0">
      <items count="38">
        <item x="33"/>
        <item x="34"/>
        <item x="9"/>
        <item x="24"/>
        <item x="20"/>
        <item x="14"/>
        <item x="27"/>
        <item x="2"/>
        <item x="17"/>
        <item x="11"/>
        <item x="23"/>
        <item x="32"/>
        <item x="10"/>
        <item x="28"/>
        <item x="16"/>
        <item x="7"/>
        <item x="25"/>
        <item x="21"/>
        <item x="5"/>
        <item x="1"/>
        <item x="29"/>
        <item x="19"/>
        <item x="6"/>
        <item x="12"/>
        <item x="18"/>
        <item x="30"/>
        <item x="15"/>
        <item x="4"/>
        <item x="8"/>
        <item x="35"/>
        <item x="36"/>
        <item x="22"/>
        <item x="13"/>
        <item x="26"/>
        <item x="3"/>
        <item x="0"/>
        <item x="31"/>
        <item t="default"/>
      </items>
    </pivotField>
    <pivotField showAll="0"/>
    <pivotField showAll="0"/>
    <pivotField showAll="0"/>
    <pivotField numFmtId="165" showAll="0"/>
  </pivotFields>
  <rowItems count="1">
    <i/>
  </rowItems>
  <colItems count="1">
    <i/>
  </colItems>
  <dataFields count="1">
    <dataField name="Sum of Room Available"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54EFCA1-4E39-4B04-92DA-A7936F46867C}" name="PivotTable11"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hotel name">
  <location ref="A42:A43" firstHeaderRow="1" firstDataRow="1" firstDataCol="0"/>
  <pivotFields count="18">
    <pivotField showAll="0">
      <items count="3">
        <item x="0"/>
        <item x="1"/>
        <item t="default"/>
      </items>
    </pivotField>
    <pivotField showAll="0"/>
    <pivotField showAll="0">
      <items count="9">
        <item x="3"/>
        <item x="1"/>
        <item x="7"/>
        <item x="6"/>
        <item x="2"/>
        <item x="0"/>
        <item x="4"/>
        <item x="5"/>
        <item t="default"/>
      </items>
    </pivotField>
    <pivotField showAll="0"/>
    <pivotField showAll="0"/>
    <pivotField showAll="0"/>
    <pivotField showAll="0"/>
    <pivotField showAll="0"/>
    <pivotField showAll="0"/>
    <pivotField numFmtId="14" showAll="0"/>
    <pivotField showAll="0"/>
    <pivotField showAll="0"/>
    <pivotField showAll="0"/>
    <pivotField showAll="0">
      <items count="38">
        <item x="33"/>
        <item x="34"/>
        <item x="9"/>
        <item x="24"/>
        <item x="20"/>
        <item x="14"/>
        <item x="27"/>
        <item x="2"/>
        <item x="17"/>
        <item x="11"/>
        <item x="23"/>
        <item x="32"/>
        <item x="10"/>
        <item x="28"/>
        <item x="16"/>
        <item x="7"/>
        <item x="25"/>
        <item x="21"/>
        <item x="5"/>
        <item x="1"/>
        <item x="29"/>
        <item x="19"/>
        <item x="6"/>
        <item x="12"/>
        <item x="18"/>
        <item x="30"/>
        <item x="15"/>
        <item x="4"/>
        <item x="8"/>
        <item x="35"/>
        <item x="36"/>
        <item x="22"/>
        <item x="13"/>
        <item x="26"/>
        <item x="3"/>
        <item x="0"/>
        <item x="31"/>
        <item t="default"/>
      </items>
    </pivotField>
    <pivotField showAll="0"/>
    <pivotField showAll="0"/>
    <pivotField showAll="0"/>
    <pivotField dataField="1" numFmtId="165" showAll="0"/>
  </pivotFields>
  <rowItems count="1">
    <i/>
  </rowItems>
  <colItems count="1">
    <i/>
  </colItems>
  <dataFields count="1">
    <dataField name="Sum of Profit" fld="17" baseField="0" baseItem="0" numFmtId="168"/>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570A8CE-7E60-4607-903F-73C423974018}" name="PivotTable10"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hotel name">
  <location ref="A39:A40" firstHeaderRow="1" firstDataRow="1" firstDataCol="0"/>
  <pivotFields count="18">
    <pivotField showAll="0">
      <items count="3">
        <item x="0"/>
        <item x="1"/>
        <item t="default"/>
      </items>
    </pivotField>
    <pivotField showAll="0"/>
    <pivotField dataField="1" showAll="0">
      <items count="9">
        <item x="3"/>
        <item x="1"/>
        <item x="7"/>
        <item x="6"/>
        <item x="2"/>
        <item x="0"/>
        <item x="4"/>
        <item x="5"/>
        <item t="default"/>
      </items>
    </pivotField>
    <pivotField showAll="0"/>
    <pivotField showAll="0"/>
    <pivotField showAll="0"/>
    <pivotField showAll="0"/>
    <pivotField showAll="0"/>
    <pivotField showAll="0"/>
    <pivotField numFmtId="14" showAll="0"/>
    <pivotField showAll="0"/>
    <pivotField showAll="0"/>
    <pivotField showAll="0"/>
    <pivotField showAll="0">
      <items count="38">
        <item x="33"/>
        <item x="34"/>
        <item x="9"/>
        <item x="24"/>
        <item x="20"/>
        <item x="14"/>
        <item x="27"/>
        <item x="2"/>
        <item x="17"/>
        <item x="11"/>
        <item x="23"/>
        <item x="32"/>
        <item x="10"/>
        <item x="28"/>
        <item x="16"/>
        <item x="7"/>
        <item x="25"/>
        <item x="21"/>
        <item x="5"/>
        <item x="1"/>
        <item x="29"/>
        <item x="19"/>
        <item x="6"/>
        <item x="12"/>
        <item x="18"/>
        <item x="30"/>
        <item x="15"/>
        <item x="4"/>
        <item x="8"/>
        <item x="35"/>
        <item x="36"/>
        <item x="22"/>
        <item x="13"/>
        <item x="26"/>
        <item x="3"/>
        <item x="0"/>
        <item x="31"/>
        <item t="default"/>
      </items>
    </pivotField>
    <pivotField showAll="0"/>
    <pivotField showAll="0"/>
    <pivotField showAll="0"/>
    <pivotField numFmtId="165" showAll="0"/>
  </pivotFields>
  <rowItems count="1">
    <i/>
  </rowItems>
  <colItems count="1">
    <i/>
  </colItems>
  <dataFields count="1">
    <dataField name="Count of Hotel Name"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14CAC21-8B13-4FA9-8A7C-721BC52D1608}" name="month"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month">
  <location ref="T23:U36" firstHeaderRow="1" firstDataRow="1" firstDataCol="1"/>
  <pivotFields count="18">
    <pivotField showAll="0">
      <items count="3">
        <item x="0"/>
        <item x="1"/>
        <item t="default"/>
      </items>
    </pivotField>
    <pivotField axis="axisRow" showAll="0">
      <items count="13">
        <item x="0"/>
        <item x="11"/>
        <item x="6"/>
        <item x="1"/>
        <item x="8"/>
        <item x="2"/>
        <item x="10"/>
        <item x="7"/>
        <item x="5"/>
        <item x="3"/>
        <item x="9"/>
        <item x="4"/>
        <item t="default"/>
      </items>
    </pivotField>
    <pivotField showAll="0">
      <items count="9">
        <item x="3"/>
        <item x="1"/>
        <item x="7"/>
        <item x="6"/>
        <item x="2"/>
        <item x="0"/>
        <item x="4"/>
        <item x="5"/>
        <item t="default"/>
      </items>
    </pivotField>
    <pivotField showAll="0"/>
    <pivotField showAll="0"/>
    <pivotField showAll="0"/>
    <pivotField showAll="0"/>
    <pivotField showAll="0"/>
    <pivotField showAll="0"/>
    <pivotField numFmtId="14" showAll="0"/>
    <pivotField showAll="0"/>
    <pivotField showAll="0"/>
    <pivotField showAll="0"/>
    <pivotField showAll="0">
      <items count="38">
        <item x="33"/>
        <item x="34"/>
        <item x="9"/>
        <item x="24"/>
        <item x="20"/>
        <item x="14"/>
        <item x="27"/>
        <item x="2"/>
        <item x="17"/>
        <item x="11"/>
        <item x="23"/>
        <item x="32"/>
        <item x="10"/>
        <item x="28"/>
        <item x="16"/>
        <item x="7"/>
        <item x="25"/>
        <item x="21"/>
        <item x="5"/>
        <item x="1"/>
        <item x="29"/>
        <item x="19"/>
        <item x="6"/>
        <item x="12"/>
        <item x="18"/>
        <item x="30"/>
        <item x="15"/>
        <item x="4"/>
        <item x="8"/>
        <item x="35"/>
        <item x="36"/>
        <item x="22"/>
        <item x="13"/>
        <item x="26"/>
        <item x="3"/>
        <item x="0"/>
        <item x="31"/>
        <item t="default"/>
      </items>
    </pivotField>
    <pivotField showAll="0"/>
    <pivotField showAll="0"/>
    <pivotField showAll="0"/>
    <pivotField dataField="1" numFmtId="165" showAll="0"/>
  </pivotFields>
  <rowFields count="1">
    <field x="1"/>
  </rowFields>
  <rowItems count="13">
    <i>
      <x/>
    </i>
    <i>
      <x v="1"/>
    </i>
    <i>
      <x v="2"/>
    </i>
    <i>
      <x v="3"/>
    </i>
    <i>
      <x v="4"/>
    </i>
    <i>
      <x v="5"/>
    </i>
    <i>
      <x v="6"/>
    </i>
    <i>
      <x v="7"/>
    </i>
    <i>
      <x v="8"/>
    </i>
    <i>
      <x v="9"/>
    </i>
    <i>
      <x v="10"/>
    </i>
    <i>
      <x v="11"/>
    </i>
    <i t="grand">
      <x/>
    </i>
  </rowItems>
  <colItems count="1">
    <i/>
  </colItems>
  <dataFields count="1">
    <dataField name="Sum of Profit" fld="17" baseField="0" baseItem="0" numFmtId="170"/>
  </dataFields>
  <chartFormats count="13">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 count="1" selected="0">
            <x v="0"/>
          </reference>
        </references>
      </pivotArea>
    </chartFormat>
    <chartFormat chart="2" format="4">
      <pivotArea type="data" outline="0" fieldPosition="0">
        <references count="2">
          <reference field="4294967294" count="1" selected="0">
            <x v="0"/>
          </reference>
          <reference field="1" count="1" selected="0">
            <x v="1"/>
          </reference>
        </references>
      </pivotArea>
    </chartFormat>
    <chartFormat chart="2" format="5">
      <pivotArea type="data" outline="0" fieldPosition="0">
        <references count="2">
          <reference field="4294967294" count="1" selected="0">
            <x v="0"/>
          </reference>
          <reference field="1" count="1" selected="0">
            <x v="2"/>
          </reference>
        </references>
      </pivotArea>
    </chartFormat>
    <chartFormat chart="2" format="6">
      <pivotArea type="data" outline="0" fieldPosition="0">
        <references count="2">
          <reference field="4294967294" count="1" selected="0">
            <x v="0"/>
          </reference>
          <reference field="1" count="1" selected="0">
            <x v="3"/>
          </reference>
        </references>
      </pivotArea>
    </chartFormat>
    <chartFormat chart="2" format="7">
      <pivotArea type="data" outline="0" fieldPosition="0">
        <references count="2">
          <reference field="4294967294" count="1" selected="0">
            <x v="0"/>
          </reference>
          <reference field="1" count="1" selected="0">
            <x v="4"/>
          </reference>
        </references>
      </pivotArea>
    </chartFormat>
    <chartFormat chart="2" format="8">
      <pivotArea type="data" outline="0" fieldPosition="0">
        <references count="2">
          <reference field="4294967294" count="1" selected="0">
            <x v="0"/>
          </reference>
          <reference field="1" count="1" selected="0">
            <x v="5"/>
          </reference>
        </references>
      </pivotArea>
    </chartFormat>
    <chartFormat chart="2" format="9">
      <pivotArea type="data" outline="0" fieldPosition="0">
        <references count="2">
          <reference field="4294967294" count="1" selected="0">
            <x v="0"/>
          </reference>
          <reference field="1" count="1" selected="0">
            <x v="7"/>
          </reference>
        </references>
      </pivotArea>
    </chartFormat>
    <chartFormat chart="2" format="10">
      <pivotArea type="data" outline="0" fieldPosition="0">
        <references count="2">
          <reference field="4294967294" count="1" selected="0">
            <x v="0"/>
          </reference>
          <reference field="1" count="1" selected="0">
            <x v="8"/>
          </reference>
        </references>
      </pivotArea>
    </chartFormat>
    <chartFormat chart="2" format="11">
      <pivotArea type="data" outline="0" fieldPosition="0">
        <references count="2">
          <reference field="4294967294" count="1" selected="0">
            <x v="0"/>
          </reference>
          <reference field="1" count="1" selected="0">
            <x v="9"/>
          </reference>
        </references>
      </pivotArea>
    </chartFormat>
    <chartFormat chart="2" format="12">
      <pivotArea type="data" outline="0" fieldPosition="0">
        <references count="2">
          <reference field="4294967294" count="1" selected="0">
            <x v="0"/>
          </reference>
          <reference field="1" count="1" selected="0">
            <x v="10"/>
          </reference>
        </references>
      </pivotArea>
    </chartFormat>
    <chartFormat chart="2" format="13">
      <pivotArea type="data" outline="0" fieldPosition="0">
        <references count="2">
          <reference field="4294967294" count="1" selected="0">
            <x v="0"/>
          </reference>
          <reference field="1" count="1" selected="0">
            <x v="11"/>
          </reference>
        </references>
      </pivotArea>
    </chartFormat>
    <chartFormat chart="2" format="14">
      <pivotArea type="data" outline="0" fieldPosition="0">
        <references count="2">
          <reference field="4294967294" count="1" selected="0">
            <x v="0"/>
          </reference>
          <reference field="1"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1118FB4-B480-4290-8FC0-A6A07B8CB673}" name="room type"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room type">
  <location ref="T10:V18" firstHeaderRow="0" firstDataRow="1" firstDataCol="1"/>
  <pivotFields count="18">
    <pivotField showAll="0">
      <items count="3">
        <item x="0"/>
        <item x="1"/>
        <item t="default"/>
      </items>
    </pivotField>
    <pivotField showAll="0"/>
    <pivotField showAll="0" sortType="descending">
      <items count="9">
        <item x="3"/>
        <item x="1"/>
        <item x="7"/>
        <item x="6"/>
        <item x="2"/>
        <item x="0"/>
        <item x="4"/>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numFmtId="14" showAll="0"/>
    <pivotField axis="axisRow" showAll="0">
      <items count="8">
        <item x="0"/>
        <item x="5"/>
        <item x="6"/>
        <item x="4"/>
        <item x="3"/>
        <item x="1"/>
        <item x="2"/>
        <item t="default"/>
      </items>
    </pivotField>
    <pivotField showAll="0"/>
    <pivotField dataField="1" showAll="0"/>
    <pivotField dataField="1" showAll="0">
      <items count="38">
        <item x="33"/>
        <item x="34"/>
        <item x="9"/>
        <item x="24"/>
        <item x="20"/>
        <item x="14"/>
        <item x="27"/>
        <item x="2"/>
        <item x="17"/>
        <item x="11"/>
        <item x="23"/>
        <item x="32"/>
        <item x="10"/>
        <item x="28"/>
        <item x="16"/>
        <item x="7"/>
        <item x="25"/>
        <item x="21"/>
        <item x="5"/>
        <item x="1"/>
        <item x="29"/>
        <item x="19"/>
        <item x="6"/>
        <item x="12"/>
        <item x="18"/>
        <item x="30"/>
        <item x="15"/>
        <item x="4"/>
        <item x="8"/>
        <item x="35"/>
        <item x="36"/>
        <item x="22"/>
        <item x="13"/>
        <item x="26"/>
        <item x="3"/>
        <item x="0"/>
        <item x="31"/>
        <item t="default"/>
      </items>
    </pivotField>
    <pivotField showAll="0"/>
    <pivotField showAll="0"/>
    <pivotField showAll="0"/>
    <pivotField numFmtId="165" showAll="0"/>
  </pivotFields>
  <rowFields count="1">
    <field x="10"/>
  </rowFields>
  <rowItems count="8">
    <i>
      <x/>
    </i>
    <i>
      <x v="1"/>
    </i>
    <i>
      <x v="2"/>
    </i>
    <i>
      <x v="3"/>
    </i>
    <i>
      <x v="4"/>
    </i>
    <i>
      <x v="5"/>
    </i>
    <i>
      <x v="6"/>
    </i>
    <i t="grand">
      <x/>
    </i>
  </rowItems>
  <colFields count="1">
    <field x="-2"/>
  </colFields>
  <colItems count="2">
    <i>
      <x/>
    </i>
    <i i="1">
      <x v="1"/>
    </i>
  </colItems>
  <dataFields count="2">
    <dataField name="Sum of Room Booked" fld="12" baseField="0" baseItem="0"/>
    <dataField name="Sum of Room Available" fld="13" baseField="0" baseItem="0"/>
  </dataField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22478AB-4316-4359-A379-42A10D9B5C02}" name="cust type"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cust type">
  <location ref="T3:V6" firstHeaderRow="0" firstDataRow="1" firstDataCol="1"/>
  <pivotFields count="18">
    <pivotField showAll="0">
      <items count="3">
        <item x="0"/>
        <item x="1"/>
        <item t="default"/>
      </items>
    </pivotField>
    <pivotField showAll="0"/>
    <pivotField showAll="0">
      <items count="9">
        <item x="3"/>
        <item x="1"/>
        <item x="7"/>
        <item x="6"/>
        <item x="2"/>
        <item x="0"/>
        <item x="4"/>
        <item x="5"/>
        <item t="default"/>
      </items>
    </pivotField>
    <pivotField showAll="0"/>
    <pivotField showAll="0"/>
    <pivotField dataField="1" showAll="0"/>
    <pivotField showAll="0"/>
    <pivotField showAll="0"/>
    <pivotField axis="axisRow" showAll="0">
      <items count="3">
        <item x="0"/>
        <item x="1"/>
        <item t="default"/>
      </items>
    </pivotField>
    <pivotField numFmtId="14" showAll="0"/>
    <pivotField showAll="0"/>
    <pivotField showAll="0"/>
    <pivotField showAll="0"/>
    <pivotField showAll="0">
      <items count="38">
        <item x="33"/>
        <item x="34"/>
        <item x="9"/>
        <item x="24"/>
        <item x="20"/>
        <item x="14"/>
        <item x="27"/>
        <item x="2"/>
        <item x="17"/>
        <item x="11"/>
        <item x="23"/>
        <item x="32"/>
        <item x="10"/>
        <item x="28"/>
        <item x="16"/>
        <item x="7"/>
        <item x="25"/>
        <item x="21"/>
        <item x="5"/>
        <item x="1"/>
        <item x="29"/>
        <item x="19"/>
        <item x="6"/>
        <item x="12"/>
        <item x="18"/>
        <item x="30"/>
        <item x="15"/>
        <item x="4"/>
        <item x="8"/>
        <item x="35"/>
        <item x="36"/>
        <item x="22"/>
        <item x="13"/>
        <item x="26"/>
        <item x="3"/>
        <item x="0"/>
        <item x="31"/>
        <item t="default"/>
      </items>
    </pivotField>
    <pivotField showAll="0"/>
    <pivotField showAll="0"/>
    <pivotField showAll="0"/>
    <pivotField numFmtId="165" showAll="0"/>
  </pivotFields>
  <rowFields count="1">
    <field x="8"/>
  </rowFields>
  <rowItems count="3">
    <i>
      <x/>
    </i>
    <i>
      <x v="1"/>
    </i>
    <i t="grand">
      <x/>
    </i>
  </rowItems>
  <colFields count="1">
    <field x="-2"/>
  </colFields>
  <colItems count="2">
    <i>
      <x/>
    </i>
    <i i="1">
      <x v="1"/>
    </i>
  </colItems>
  <dataFields count="2">
    <dataField name="Count of Customer ID" fld="5" subtotal="count" baseField="0" baseItem="0"/>
    <dataField name="Count of Customer ID2" fld="5" subtotal="count" showDataAs="percentOfTotal" baseField="0" baseItem="0" numFmtId="10"/>
  </dataFields>
  <chartFormats count="6">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8" count="1" selected="0">
            <x v="0"/>
          </reference>
        </references>
      </pivotArea>
    </chartFormat>
    <chartFormat chart="2" format="10">
      <pivotArea type="data" outline="0" fieldPosition="0">
        <references count="2">
          <reference field="4294967294" count="1" selected="0">
            <x v="0"/>
          </reference>
          <reference field="8" count="1" selected="0">
            <x v="1"/>
          </reference>
        </references>
      </pivotArea>
    </chartFormat>
    <chartFormat chart="2" format="11" series="1">
      <pivotArea type="data" outline="0" fieldPosition="0">
        <references count="1">
          <reference field="4294967294" count="1" selected="0">
            <x v="1"/>
          </reference>
        </references>
      </pivotArea>
    </chartFormat>
    <chartFormat chart="2" format="12">
      <pivotArea type="data" outline="0" fieldPosition="0">
        <references count="2">
          <reference field="4294967294" count="1" selected="0">
            <x v="1"/>
          </reference>
          <reference field="8" count="1" selected="0">
            <x v="0"/>
          </reference>
        </references>
      </pivotArea>
    </chartFormat>
    <chartFormat chart="2" format="13">
      <pivotArea type="data" outline="0" fieldPosition="0">
        <references count="2">
          <reference field="4294967294" count="1" selected="0">
            <x v="1"/>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7A54411-608B-494C-894C-754D637B67E1}" name="country"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country">
  <location ref="G18:H25" firstHeaderRow="1" firstDataRow="1" firstDataCol="1"/>
  <pivotFields count="18">
    <pivotField showAll="0">
      <items count="3">
        <item x="0"/>
        <item x="1"/>
        <item t="default"/>
      </items>
    </pivotField>
    <pivotField showAll="0"/>
    <pivotField showAll="0">
      <items count="9">
        <item x="3"/>
        <item x="1"/>
        <item x="7"/>
        <item x="6"/>
        <item x="2"/>
        <item x="0"/>
        <item x="4"/>
        <item x="5"/>
        <item t="default"/>
      </items>
    </pivotField>
    <pivotField axis="axisRow" showAll="0">
      <items count="7">
        <item x="0"/>
        <item x="2"/>
        <item x="5"/>
        <item x="4"/>
        <item x="1"/>
        <item x="3"/>
        <item t="default"/>
      </items>
    </pivotField>
    <pivotField showAll="0"/>
    <pivotField showAll="0"/>
    <pivotField showAll="0"/>
    <pivotField showAll="0"/>
    <pivotField showAll="0"/>
    <pivotField numFmtId="14" showAll="0"/>
    <pivotField showAll="0"/>
    <pivotField showAll="0"/>
    <pivotField dataField="1" showAll="0"/>
    <pivotField showAll="0">
      <items count="38">
        <item x="33"/>
        <item x="34"/>
        <item x="9"/>
        <item x="24"/>
        <item x="20"/>
        <item x="14"/>
        <item x="27"/>
        <item x="2"/>
        <item x="17"/>
        <item x="11"/>
        <item x="23"/>
        <item x="32"/>
        <item x="10"/>
        <item x="28"/>
        <item x="16"/>
        <item x="7"/>
        <item x="25"/>
        <item x="21"/>
        <item x="5"/>
        <item x="1"/>
        <item x="29"/>
        <item x="19"/>
        <item x="6"/>
        <item x="12"/>
        <item x="18"/>
        <item x="30"/>
        <item x="15"/>
        <item x="4"/>
        <item x="8"/>
        <item x="35"/>
        <item x="36"/>
        <item x="22"/>
        <item x="13"/>
        <item x="26"/>
        <item x="3"/>
        <item x="0"/>
        <item x="31"/>
        <item t="default"/>
      </items>
    </pivotField>
    <pivotField showAll="0"/>
    <pivotField showAll="0"/>
    <pivotField showAll="0"/>
    <pivotField numFmtId="165" showAll="0"/>
  </pivotFields>
  <rowFields count="1">
    <field x="3"/>
  </rowFields>
  <rowItems count="7">
    <i>
      <x/>
    </i>
    <i>
      <x v="1"/>
    </i>
    <i>
      <x v="2"/>
    </i>
    <i>
      <x v="3"/>
    </i>
    <i>
      <x v="4"/>
    </i>
    <i>
      <x v="5"/>
    </i>
    <i t="grand">
      <x/>
    </i>
  </rowItems>
  <colItems count="1">
    <i/>
  </colItems>
  <dataFields count="1">
    <dataField name="Sum of Room Booked" fld="12" baseField="0" baseItem="0"/>
  </dataFields>
  <chartFormats count="7">
    <chartFormat chart="3" format="14" series="1">
      <pivotArea type="data" outline="0" fieldPosition="0">
        <references count="1">
          <reference field="4294967294" count="1" selected="0">
            <x v="0"/>
          </reference>
        </references>
      </pivotArea>
    </chartFormat>
    <chartFormat chart="3" format="15">
      <pivotArea type="data" outline="0" fieldPosition="0">
        <references count="2">
          <reference field="4294967294" count="1" selected="0">
            <x v="0"/>
          </reference>
          <reference field="3" count="1" selected="0">
            <x v="0"/>
          </reference>
        </references>
      </pivotArea>
    </chartFormat>
    <chartFormat chart="3" format="16">
      <pivotArea type="data" outline="0" fieldPosition="0">
        <references count="2">
          <reference field="4294967294" count="1" selected="0">
            <x v="0"/>
          </reference>
          <reference field="3" count="1" selected="0">
            <x v="1"/>
          </reference>
        </references>
      </pivotArea>
    </chartFormat>
    <chartFormat chart="3" format="17">
      <pivotArea type="data" outline="0" fieldPosition="0">
        <references count="2">
          <reference field="4294967294" count="1" selected="0">
            <x v="0"/>
          </reference>
          <reference field="3" count="1" selected="0">
            <x v="2"/>
          </reference>
        </references>
      </pivotArea>
    </chartFormat>
    <chartFormat chart="3" format="18">
      <pivotArea type="data" outline="0" fieldPosition="0">
        <references count="2">
          <reference field="4294967294" count="1" selected="0">
            <x v="0"/>
          </reference>
          <reference field="3" count="1" selected="0">
            <x v="3"/>
          </reference>
        </references>
      </pivotArea>
    </chartFormat>
    <chartFormat chart="3" format="19">
      <pivotArea type="data" outline="0" fieldPosition="0">
        <references count="2">
          <reference field="4294967294" count="1" selected="0">
            <x v="0"/>
          </reference>
          <reference field="3" count="1" selected="0">
            <x v="4"/>
          </reference>
        </references>
      </pivotArea>
    </chartFormat>
    <chartFormat chart="3" format="20">
      <pivotArea type="data" outline="0" fieldPosition="0">
        <references count="2">
          <reference field="4294967294" count="1" selected="0">
            <x v="0"/>
          </reference>
          <reference field="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58B9CDB-957B-4E70-989F-0F1D37249CC9}" name="city"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city">
  <location ref="A18:B31" firstHeaderRow="1" firstDataRow="1" firstDataCol="1"/>
  <pivotFields count="18">
    <pivotField showAll="0">
      <items count="3">
        <item x="0"/>
        <item x="1"/>
        <item t="default"/>
      </items>
    </pivotField>
    <pivotField showAll="0"/>
    <pivotField showAll="0">
      <items count="9">
        <item x="3"/>
        <item x="1"/>
        <item x="7"/>
        <item x="6"/>
        <item x="2"/>
        <item x="0"/>
        <item x="4"/>
        <item x="5"/>
        <item t="default"/>
      </items>
    </pivotField>
    <pivotField showAll="0"/>
    <pivotField axis="axisRow" showAll="0">
      <items count="13">
        <item x="4"/>
        <item x="11"/>
        <item x="10"/>
        <item x="1"/>
        <item x="9"/>
        <item x="7"/>
        <item x="8"/>
        <item x="2"/>
        <item x="3"/>
        <item x="5"/>
        <item x="0"/>
        <item x="6"/>
        <item t="default"/>
      </items>
    </pivotField>
    <pivotField showAll="0"/>
    <pivotField showAll="0"/>
    <pivotField showAll="0"/>
    <pivotField showAll="0"/>
    <pivotField numFmtId="14" showAll="0"/>
    <pivotField showAll="0"/>
    <pivotField showAll="0"/>
    <pivotField showAll="0"/>
    <pivotField dataField="1" showAll="0">
      <items count="38">
        <item x="33"/>
        <item x="34"/>
        <item x="9"/>
        <item x="24"/>
        <item x="20"/>
        <item x="14"/>
        <item x="27"/>
        <item x="2"/>
        <item x="17"/>
        <item x="11"/>
        <item x="23"/>
        <item x="32"/>
        <item x="10"/>
        <item x="28"/>
        <item x="16"/>
        <item x="7"/>
        <item x="25"/>
        <item x="21"/>
        <item x="5"/>
        <item x="1"/>
        <item x="29"/>
        <item x="19"/>
        <item x="6"/>
        <item x="12"/>
        <item x="18"/>
        <item x="30"/>
        <item x="15"/>
        <item x="4"/>
        <item x="8"/>
        <item x="35"/>
        <item x="36"/>
        <item x="22"/>
        <item x="13"/>
        <item x="26"/>
        <item x="3"/>
        <item x="0"/>
        <item x="31"/>
        <item t="default"/>
      </items>
    </pivotField>
    <pivotField showAll="0"/>
    <pivotField showAll="0"/>
    <pivotField showAll="0"/>
    <pivotField numFmtId="165" showAll="0"/>
  </pivotFields>
  <rowFields count="1">
    <field x="4"/>
  </rowFields>
  <rowItems count="13">
    <i>
      <x/>
    </i>
    <i>
      <x v="1"/>
    </i>
    <i>
      <x v="2"/>
    </i>
    <i>
      <x v="3"/>
    </i>
    <i>
      <x v="4"/>
    </i>
    <i>
      <x v="5"/>
    </i>
    <i>
      <x v="6"/>
    </i>
    <i>
      <x v="7"/>
    </i>
    <i>
      <x v="8"/>
    </i>
    <i>
      <x v="9"/>
    </i>
    <i>
      <x v="10"/>
    </i>
    <i>
      <x v="11"/>
    </i>
    <i t="grand">
      <x/>
    </i>
  </rowItems>
  <colItems count="1">
    <i/>
  </colItems>
  <dataFields count="1">
    <dataField name="Sum of Room Available" fld="13" baseField="0" baseItem="0"/>
  </dataFields>
  <chartFormats count="13">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4" count="1" selected="0">
            <x v="7"/>
          </reference>
        </references>
      </pivotArea>
    </chartFormat>
    <chartFormat chart="3" format="4">
      <pivotArea type="data" outline="0" fieldPosition="0">
        <references count="2">
          <reference field="4294967294" count="1" selected="0">
            <x v="0"/>
          </reference>
          <reference field="4" count="1" selected="0">
            <x v="6"/>
          </reference>
        </references>
      </pivotArea>
    </chartFormat>
    <chartFormat chart="3" format="5">
      <pivotArea type="data" outline="0" fieldPosition="0">
        <references count="2">
          <reference field="4294967294" count="1" selected="0">
            <x v="0"/>
          </reference>
          <reference field="4" count="1" selected="0">
            <x v="5"/>
          </reference>
        </references>
      </pivotArea>
    </chartFormat>
    <chartFormat chart="3" format="6">
      <pivotArea type="data" outline="0" fieldPosition="0">
        <references count="2">
          <reference field="4294967294" count="1" selected="0">
            <x v="0"/>
          </reference>
          <reference field="4" count="1" selected="0">
            <x v="4"/>
          </reference>
        </references>
      </pivotArea>
    </chartFormat>
    <chartFormat chart="3" format="7">
      <pivotArea type="data" outline="0" fieldPosition="0">
        <references count="2">
          <reference field="4294967294" count="1" selected="0">
            <x v="0"/>
          </reference>
          <reference field="4" count="1" selected="0">
            <x v="3"/>
          </reference>
        </references>
      </pivotArea>
    </chartFormat>
    <chartFormat chart="3" format="8">
      <pivotArea type="data" outline="0" fieldPosition="0">
        <references count="2">
          <reference field="4294967294" count="1" selected="0">
            <x v="0"/>
          </reference>
          <reference field="4" count="1" selected="0">
            <x v="2"/>
          </reference>
        </references>
      </pivotArea>
    </chartFormat>
    <chartFormat chart="3" format="9">
      <pivotArea type="data" outline="0" fieldPosition="0">
        <references count="2">
          <reference field="4294967294" count="1" selected="0">
            <x v="0"/>
          </reference>
          <reference field="4" count="1" selected="0">
            <x v="1"/>
          </reference>
        </references>
      </pivotArea>
    </chartFormat>
    <chartFormat chart="3" format="10">
      <pivotArea type="data" outline="0" fieldPosition="0">
        <references count="2">
          <reference field="4294967294" count="1" selected="0">
            <x v="0"/>
          </reference>
          <reference field="4" count="1" selected="0">
            <x v="8"/>
          </reference>
        </references>
      </pivotArea>
    </chartFormat>
    <chartFormat chart="3" format="11">
      <pivotArea type="data" outline="0" fieldPosition="0">
        <references count="2">
          <reference field="4294967294" count="1" selected="0">
            <x v="0"/>
          </reference>
          <reference field="4" count="1" selected="0">
            <x v="9"/>
          </reference>
        </references>
      </pivotArea>
    </chartFormat>
    <chartFormat chart="3" format="12">
      <pivotArea type="data" outline="0" fieldPosition="0">
        <references count="2">
          <reference field="4294967294" count="1" selected="0">
            <x v="0"/>
          </reference>
          <reference field="4" count="1" selected="0">
            <x v="10"/>
          </reference>
        </references>
      </pivotArea>
    </chartFormat>
    <chartFormat chart="3" format="13">
      <pivotArea type="data" outline="0" fieldPosition="0">
        <references count="2">
          <reference field="4294967294" count="1" selected="0">
            <x v="0"/>
          </reference>
          <reference field="4" count="1" selected="0">
            <x v="11"/>
          </reference>
        </references>
      </pivotArea>
    </chartFormat>
    <chartFormat chart="3" format="14">
      <pivotArea type="data" outline="0" fieldPosition="0">
        <references count="2">
          <reference field="4294967294" count="1" selected="0">
            <x v="0"/>
          </reference>
          <reference field="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A507FCC-7BA7-464B-B395-9FFF6A83085A}" name="customer id"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ustomer id">
  <location ref="Q3:R32" firstHeaderRow="1" firstDataRow="1" firstDataCol="1"/>
  <pivotFields count="18">
    <pivotField showAll="0">
      <items count="3">
        <item x="0"/>
        <item x="1"/>
        <item t="default"/>
      </items>
    </pivotField>
    <pivotField showAll="0"/>
    <pivotField showAll="0">
      <items count="9">
        <item x="3"/>
        <item x="1"/>
        <item x="7"/>
        <item x="6"/>
        <item x="2"/>
        <item x="0"/>
        <item x="4"/>
        <item x="5"/>
        <item t="default"/>
      </items>
    </pivotField>
    <pivotField showAll="0"/>
    <pivotField showAll="0"/>
    <pivotField axis="axisRow" dataField="1"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showAll="0"/>
    <pivotField showAll="0"/>
    <pivotField showAll="0"/>
    <pivotField numFmtId="14" showAll="0"/>
    <pivotField showAll="0"/>
    <pivotField showAll="0"/>
    <pivotField showAll="0"/>
    <pivotField showAll="0">
      <items count="38">
        <item x="33"/>
        <item x="34"/>
        <item x="9"/>
        <item x="24"/>
        <item x="20"/>
        <item x="14"/>
        <item x="27"/>
        <item x="2"/>
        <item x="17"/>
        <item x="11"/>
        <item x="23"/>
        <item x="32"/>
        <item x="10"/>
        <item x="28"/>
        <item x="16"/>
        <item x="7"/>
        <item x="25"/>
        <item x="21"/>
        <item x="5"/>
        <item x="1"/>
        <item x="29"/>
        <item x="19"/>
        <item x="6"/>
        <item x="12"/>
        <item x="18"/>
        <item x="30"/>
        <item x="15"/>
        <item x="4"/>
        <item x="8"/>
        <item x="35"/>
        <item x="36"/>
        <item x="22"/>
        <item x="13"/>
        <item x="26"/>
        <item x="3"/>
        <item x="0"/>
        <item x="31"/>
        <item t="default"/>
      </items>
    </pivotField>
    <pivotField showAll="0"/>
    <pivotField showAll="0"/>
    <pivotField showAll="0"/>
    <pivotField numFmtId="165" showAll="0"/>
  </pivotFields>
  <rowFields count="1">
    <field x="5"/>
  </rowFields>
  <rowItems count="29">
    <i>
      <x/>
    </i>
    <i>
      <x v="1"/>
    </i>
    <i>
      <x v="2"/>
    </i>
    <i>
      <x v="3"/>
    </i>
    <i>
      <x v="4"/>
    </i>
    <i>
      <x v="5"/>
    </i>
    <i>
      <x v="6"/>
    </i>
    <i>
      <x v="7"/>
    </i>
    <i>
      <x v="8"/>
    </i>
    <i>
      <x v="9"/>
    </i>
    <i>
      <x v="10"/>
    </i>
    <i>
      <x v="11"/>
    </i>
    <i>
      <x v="12"/>
    </i>
    <i>
      <x v="13"/>
    </i>
    <i>
      <x v="14"/>
    </i>
    <i>
      <x v="15"/>
    </i>
    <i>
      <x v="16"/>
    </i>
    <i>
      <x v="17"/>
    </i>
    <i>
      <x v="18"/>
    </i>
    <i>
      <x v="19"/>
    </i>
    <i>
      <x v="20"/>
    </i>
    <i>
      <x v="21"/>
    </i>
    <i>
      <x v="22"/>
    </i>
    <i>
      <x v="23"/>
    </i>
    <i>
      <x v="24"/>
    </i>
    <i>
      <x v="25"/>
    </i>
    <i>
      <x v="26"/>
    </i>
    <i>
      <x v="27"/>
    </i>
    <i t="grand">
      <x/>
    </i>
  </rowItems>
  <colItems count="1">
    <i/>
  </colItems>
  <dataFields count="1">
    <dataField name="Count of Customer ID"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31D8622-4D9F-436F-9B97-D1287986A741}" name="room booked"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hotel name">
  <location ref="L3:M12" firstHeaderRow="1" firstDataRow="1" firstDataCol="1"/>
  <pivotFields count="18">
    <pivotField showAll="0">
      <items count="3">
        <item x="0"/>
        <item x="1"/>
        <item t="default"/>
      </items>
    </pivotField>
    <pivotField showAll="0"/>
    <pivotField axis="axisRow" showAll="0" sortType="descending">
      <items count="9">
        <item x="3"/>
        <item x="1"/>
        <item x="7"/>
        <item x="6"/>
        <item x="2"/>
        <item x="0"/>
        <item x="4"/>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numFmtId="14" showAll="0"/>
    <pivotField showAll="0"/>
    <pivotField showAll="0"/>
    <pivotField dataField="1" showAll="0"/>
    <pivotField showAll="0">
      <items count="38">
        <item x="33"/>
        <item x="34"/>
        <item x="9"/>
        <item x="24"/>
        <item x="20"/>
        <item x="14"/>
        <item x="27"/>
        <item x="2"/>
        <item x="17"/>
        <item x="11"/>
        <item x="23"/>
        <item x="32"/>
        <item x="10"/>
        <item x="28"/>
        <item x="16"/>
        <item x="7"/>
        <item x="25"/>
        <item x="21"/>
        <item x="5"/>
        <item x="1"/>
        <item x="29"/>
        <item x="19"/>
        <item x="6"/>
        <item x="12"/>
        <item x="18"/>
        <item x="30"/>
        <item x="15"/>
        <item x="4"/>
        <item x="8"/>
        <item x="35"/>
        <item x="36"/>
        <item x="22"/>
        <item x="13"/>
        <item x="26"/>
        <item x="3"/>
        <item x="0"/>
        <item x="31"/>
        <item t="default"/>
      </items>
    </pivotField>
    <pivotField showAll="0"/>
    <pivotField showAll="0"/>
    <pivotField showAll="0"/>
    <pivotField numFmtId="165" showAll="0"/>
  </pivotFields>
  <rowFields count="1">
    <field x="2"/>
  </rowFields>
  <rowItems count="9">
    <i>
      <x v="4"/>
    </i>
    <i>
      <x v="1"/>
    </i>
    <i>
      <x v="7"/>
    </i>
    <i>
      <x v="5"/>
    </i>
    <i>
      <x v="2"/>
    </i>
    <i>
      <x v="6"/>
    </i>
    <i>
      <x/>
    </i>
    <i>
      <x v="3"/>
    </i>
    <i t="grand">
      <x/>
    </i>
  </rowItems>
  <colItems count="1">
    <i/>
  </colItems>
  <dataFields count="1">
    <dataField name="Sum of Room Booked"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B3751E86-7054-4E04-968B-2000488D21C6}" name="count hotel"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hotel name">
  <location ref="H3:I12" firstHeaderRow="1" firstDataRow="1" firstDataCol="1"/>
  <pivotFields count="18">
    <pivotField showAll="0">
      <items count="3">
        <item x="0"/>
        <item x="1"/>
        <item t="default"/>
      </items>
    </pivotField>
    <pivotField showAll="0"/>
    <pivotField axis="axisRow" dataField="1" showAll="0">
      <items count="9">
        <item x="3"/>
        <item x="1"/>
        <item x="7"/>
        <item x="6"/>
        <item x="2"/>
        <item x="0"/>
        <item x="4"/>
        <item x="5"/>
        <item t="default"/>
      </items>
    </pivotField>
    <pivotField showAll="0"/>
    <pivotField showAll="0"/>
    <pivotField showAll="0"/>
    <pivotField showAll="0"/>
    <pivotField showAll="0"/>
    <pivotField showAll="0"/>
    <pivotField numFmtId="14" showAll="0"/>
    <pivotField showAll="0"/>
    <pivotField showAll="0"/>
    <pivotField showAll="0"/>
    <pivotField showAll="0">
      <items count="38">
        <item x="33"/>
        <item x="34"/>
        <item x="9"/>
        <item x="24"/>
        <item x="20"/>
        <item x="14"/>
        <item x="27"/>
        <item x="2"/>
        <item x="17"/>
        <item x="11"/>
        <item x="23"/>
        <item x="32"/>
        <item x="10"/>
        <item x="28"/>
        <item x="16"/>
        <item x="7"/>
        <item x="25"/>
        <item x="21"/>
        <item x="5"/>
        <item x="1"/>
        <item x="29"/>
        <item x="19"/>
        <item x="6"/>
        <item x="12"/>
        <item x="18"/>
        <item x="30"/>
        <item x="15"/>
        <item x="4"/>
        <item x="8"/>
        <item x="35"/>
        <item x="36"/>
        <item x="22"/>
        <item x="13"/>
        <item x="26"/>
        <item x="3"/>
        <item x="0"/>
        <item x="31"/>
        <item t="default"/>
      </items>
    </pivotField>
    <pivotField showAll="0"/>
    <pivotField showAll="0"/>
    <pivotField showAll="0"/>
    <pivotField numFmtId="165" showAll="0"/>
  </pivotFields>
  <rowFields count="1">
    <field x="2"/>
  </rowFields>
  <rowItems count="9">
    <i>
      <x/>
    </i>
    <i>
      <x v="1"/>
    </i>
    <i>
      <x v="2"/>
    </i>
    <i>
      <x v="3"/>
    </i>
    <i>
      <x v="4"/>
    </i>
    <i>
      <x v="5"/>
    </i>
    <i>
      <x v="6"/>
    </i>
    <i>
      <x v="7"/>
    </i>
    <i t="grand">
      <x/>
    </i>
  </rowItems>
  <colItems count="1">
    <i/>
  </colItems>
  <dataFields count="1">
    <dataField name="Count of Hotel Name"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EA09BA64-620C-4275-9476-0206D0F7B888}" name="hotel name"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hotel name">
  <location ref="A3:B12" firstHeaderRow="1" firstDataRow="1" firstDataCol="1"/>
  <pivotFields count="18">
    <pivotField showAll="0">
      <items count="3">
        <item x="0"/>
        <item x="1"/>
        <item t="default"/>
      </items>
    </pivotField>
    <pivotField showAll="0"/>
    <pivotField axis="axisRow" showAll="0">
      <items count="9">
        <item x="3"/>
        <item x="1"/>
        <item x="7"/>
        <item x="6"/>
        <item x="2"/>
        <item x="0"/>
        <item x="4"/>
        <item x="5"/>
        <item t="default"/>
      </items>
    </pivotField>
    <pivotField showAll="0"/>
    <pivotField showAll="0"/>
    <pivotField showAll="0"/>
    <pivotField showAll="0"/>
    <pivotField showAll="0"/>
    <pivotField showAll="0"/>
    <pivotField numFmtId="14" showAll="0"/>
    <pivotField showAll="0"/>
    <pivotField showAll="0"/>
    <pivotField showAll="0"/>
    <pivotField dataField="1" showAll="0">
      <items count="38">
        <item x="33"/>
        <item x="34"/>
        <item x="9"/>
        <item x="24"/>
        <item x="20"/>
        <item x="14"/>
        <item x="27"/>
        <item x="2"/>
        <item x="17"/>
        <item x="11"/>
        <item x="23"/>
        <item x="32"/>
        <item x="10"/>
        <item x="28"/>
        <item x="16"/>
        <item x="7"/>
        <item x="25"/>
        <item x="21"/>
        <item x="5"/>
        <item x="1"/>
        <item x="29"/>
        <item x="19"/>
        <item x="6"/>
        <item x="12"/>
        <item x="18"/>
        <item x="30"/>
        <item x="15"/>
        <item x="4"/>
        <item x="8"/>
        <item x="35"/>
        <item x="36"/>
        <item x="22"/>
        <item x="13"/>
        <item x="26"/>
        <item x="3"/>
        <item x="0"/>
        <item x="31"/>
        <item t="default"/>
      </items>
    </pivotField>
    <pivotField showAll="0"/>
    <pivotField showAll="0"/>
    <pivotField showAll="0"/>
    <pivotField numFmtId="165" showAll="0"/>
  </pivotFields>
  <rowFields count="1">
    <field x="2"/>
  </rowFields>
  <rowItems count="9">
    <i>
      <x/>
    </i>
    <i>
      <x v="1"/>
    </i>
    <i>
      <x v="2"/>
    </i>
    <i>
      <x v="3"/>
    </i>
    <i>
      <x v="4"/>
    </i>
    <i>
      <x v="5"/>
    </i>
    <i>
      <x v="6"/>
    </i>
    <i>
      <x v="7"/>
    </i>
    <i t="grand">
      <x/>
    </i>
  </rowItems>
  <colItems count="1">
    <i/>
  </colItems>
  <dataFields count="1">
    <dataField name="Sum of Room Available"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37B2035D-8F95-48AC-9472-2EC2A58AF432}" sourceName="Year">
  <pivotTables>
    <pivotTable tabId="3" name="month"/>
    <pivotTable tabId="3" name="city"/>
    <pivotTable tabId="3" name="count hotel"/>
    <pivotTable tabId="3" name="country"/>
    <pivotTable tabId="3" name="cust type"/>
    <pivotTable tabId="3" name="customer id"/>
    <pivotTable tabId="3" name="hotel name"/>
    <pivotTable tabId="3" name="PivotTable10"/>
    <pivotTable tabId="3" name="PivotTable11"/>
    <pivotTable tabId="3" name="PivotTable12"/>
    <pivotTable tabId="3" name="PivotTable13"/>
    <pivotTable tabId="3" name="PivotTable14"/>
    <pivotTable tabId="3" name="room booked"/>
    <pivotTable tabId="3" name="room type"/>
  </pivotTables>
  <data>
    <tabular pivotCacheId="794396369">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D64AE16F-9975-4057-B7E9-C7D3D369FC9D}" cache="Slicer_Year" caption="Year" style="Slicer Style 2" rowHeight="4572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DA4ABDE-A8D4-4428-AAE7-9D4EC2A38F0E}" name="Table2" displayName="Table2" ref="A1:R141" totalsRowShown="0" headerRowDxfId="20">
  <tableColumns count="18">
    <tableColumn id="19" xr3:uid="{8C07F345-94A7-41E9-820D-2AB4E646AA13}" name="Year" dataDxfId="19"/>
    <tableColumn id="20" xr3:uid="{F98B5A31-4E06-425E-977C-E40F048B6D2A}" name="Month" dataDxfId="18"/>
    <tableColumn id="1" xr3:uid="{513F621A-3446-4BB1-AC27-71F0A8030D0F}" name="Hotel Name" dataDxfId="17"/>
    <tableColumn id="15" xr3:uid="{6BD0DC92-1CC8-4C52-8A29-11FAAAF8B5E1}" name="Country" dataDxfId="16"/>
    <tableColumn id="2" xr3:uid="{45B55F4E-59E0-4E03-9D81-87C7D6F426C7}" name="City" dataDxfId="15"/>
    <tableColumn id="3" xr3:uid="{ACD96620-7C96-40BE-B0E6-80472D289EF3}" name="Customer ID" dataDxfId="14"/>
    <tableColumn id="4" xr3:uid="{E2B5331B-2E7E-4196-BBB3-2558A65E925D}" name="Customer Age" dataDxfId="13"/>
    <tableColumn id="5" xr3:uid="{CF15EAF2-343F-4CA4-B7BA-19839DECA63A}" name="Customer Gender" dataDxfId="12"/>
    <tableColumn id="6" xr3:uid="{7754A21A-17C2-4EA2-A4CB-2FA21AD1823B}" name="Customer Type" dataDxfId="7"/>
    <tableColumn id="7" xr3:uid="{263A14EE-D16E-4BCC-8236-FC24797829F1}" name="Booking Date" dataDxfId="5"/>
    <tableColumn id="14" xr3:uid="{B8C3BA65-61F6-4286-A1E0-E9CA5C63BAAE}" name="Room Type" dataDxfId="6"/>
    <tableColumn id="8" xr3:uid="{BA01AA2D-BD7B-428B-B224-696FC669C1C6}" name="Booking Status" dataDxfId="11"/>
    <tableColumn id="9" xr3:uid="{AB8C77DD-38AD-4C4E-AEB5-CD4FF2C603A8}" name="Room Booked" dataDxfId="10"/>
    <tableColumn id="10" xr3:uid="{31D54AA7-4218-4694-AEA9-5A23B28EC61A}" name="Room Available" dataDxfId="9"/>
    <tableColumn id="11" xr3:uid="{C3CC2DBF-36B0-4863-8B0E-57DC6818745D}" name="Price" dataDxfId="8"/>
    <tableColumn id="12" xr3:uid="{2CA286BB-031C-4962-9566-2EA386134E26}" name="Payment Mode" dataDxfId="4"/>
    <tableColumn id="13" xr3:uid="{707D3C22-0C7F-4CE6-8EC9-741C33F0081C}" name="Total Revenue" dataDxfId="2" dataCellStyle="Comma">
      <calculatedColumnFormula>Table2[[#This Row],[Room Booked]]*Table2[[#This Row],[Price]]</calculatedColumnFormula>
    </tableColumn>
    <tableColumn id="16" xr3:uid="{C48F897A-0BD5-45BF-ACE5-72544EE7098D}" name="Profit" dataDxfId="3" dataCellStyle="Comma"/>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A02FFB-1035-4BD9-B9FC-F82FC1E712C8}">
  <dimension ref="A1:R141"/>
  <sheetViews>
    <sheetView topLeftCell="A2" workbookViewId="0">
      <selection activeCell="S24" sqref="S24"/>
    </sheetView>
  </sheetViews>
  <sheetFormatPr defaultRowHeight="14.4" x14ac:dyDescent="0.3"/>
  <cols>
    <col min="10" max="10" width="10.5546875" style="6" bestFit="1" customWidth="1"/>
    <col min="17" max="17" width="8.88671875" style="7"/>
  </cols>
  <sheetData>
    <row r="1" spans="1:18" ht="28.8" x14ac:dyDescent="0.3">
      <c r="A1" s="1" t="s">
        <v>0</v>
      </c>
      <c r="B1" s="1" t="s">
        <v>1</v>
      </c>
      <c r="C1" s="1" t="s">
        <v>2</v>
      </c>
      <c r="D1" s="1" t="s">
        <v>3</v>
      </c>
      <c r="E1" s="1" t="s">
        <v>4</v>
      </c>
      <c r="F1" s="1" t="s">
        <v>5</v>
      </c>
      <c r="G1" s="1" t="s">
        <v>6</v>
      </c>
      <c r="H1" s="1" t="s">
        <v>7</v>
      </c>
      <c r="I1" s="1" t="s">
        <v>8</v>
      </c>
      <c r="J1" s="5" t="s">
        <v>9</v>
      </c>
      <c r="K1" s="1" t="s">
        <v>10</v>
      </c>
      <c r="L1" s="1" t="s">
        <v>11</v>
      </c>
      <c r="M1" s="1" t="s">
        <v>12</v>
      </c>
      <c r="N1" s="1" t="s">
        <v>13</v>
      </c>
      <c r="O1" s="1" t="s">
        <v>14</v>
      </c>
      <c r="P1" s="1" t="s">
        <v>15</v>
      </c>
      <c r="Q1" s="8" t="s">
        <v>16</v>
      </c>
      <c r="R1" s="1" t="s">
        <v>17</v>
      </c>
    </row>
    <row r="2" spans="1:18" x14ac:dyDescent="0.3">
      <c r="A2" s="2">
        <v>2022</v>
      </c>
      <c r="B2" s="2" t="s">
        <v>18</v>
      </c>
      <c r="C2" s="2" t="s">
        <v>19</v>
      </c>
      <c r="D2" s="2" t="s">
        <v>20</v>
      </c>
      <c r="E2" s="2" t="s">
        <v>21</v>
      </c>
      <c r="F2" s="2" t="s">
        <v>22</v>
      </c>
      <c r="G2" s="2">
        <v>37</v>
      </c>
      <c r="H2" s="2" t="s">
        <v>23</v>
      </c>
      <c r="I2" s="2" t="s">
        <v>24</v>
      </c>
      <c r="J2" s="3">
        <v>44570</v>
      </c>
      <c r="K2" s="2" t="s">
        <v>25</v>
      </c>
      <c r="L2" s="2" t="s">
        <v>26</v>
      </c>
      <c r="M2" s="2">
        <v>9</v>
      </c>
      <c r="N2" s="2">
        <v>123</v>
      </c>
      <c r="O2" s="2">
        <v>4867</v>
      </c>
      <c r="P2" s="2" t="s">
        <v>27</v>
      </c>
      <c r="Q2" s="9">
        <f>Table2[[#This Row],[Room Booked]]*Table2[[#This Row],[Price]]</f>
        <v>43803</v>
      </c>
      <c r="R2" s="4">
        <v>32122.199999999997</v>
      </c>
    </row>
    <row r="3" spans="1:18" x14ac:dyDescent="0.3">
      <c r="A3" s="2">
        <v>2022</v>
      </c>
      <c r="B3" s="2" t="s">
        <v>28</v>
      </c>
      <c r="C3" s="2" t="s">
        <v>29</v>
      </c>
      <c r="D3" s="2" t="s">
        <v>30</v>
      </c>
      <c r="E3" s="2" t="s">
        <v>31</v>
      </c>
      <c r="F3" s="2" t="s">
        <v>32</v>
      </c>
      <c r="G3" s="2">
        <v>21</v>
      </c>
      <c r="H3" s="2" t="s">
        <v>33</v>
      </c>
      <c r="I3" s="2" t="s">
        <v>24</v>
      </c>
      <c r="J3" s="3">
        <v>44674</v>
      </c>
      <c r="K3" s="2" t="s">
        <v>25</v>
      </c>
      <c r="L3" s="2" t="s">
        <v>34</v>
      </c>
      <c r="M3" s="2">
        <v>26</v>
      </c>
      <c r="N3" s="2">
        <v>106</v>
      </c>
      <c r="O3" s="2">
        <v>3928</v>
      </c>
      <c r="P3" s="2" t="s">
        <v>35</v>
      </c>
      <c r="Q3" s="9">
        <f>Table2[[#This Row],[Room Booked]]*Table2[[#This Row],[Price]]</f>
        <v>102128</v>
      </c>
      <c r="R3" s="4">
        <v>44779.199999999997</v>
      </c>
    </row>
    <row r="4" spans="1:18" x14ac:dyDescent="0.3">
      <c r="A4" s="2">
        <v>2022</v>
      </c>
      <c r="B4" s="2" t="s">
        <v>36</v>
      </c>
      <c r="C4" s="2" t="s">
        <v>37</v>
      </c>
      <c r="D4" s="2" t="s">
        <v>38</v>
      </c>
      <c r="E4" s="2" t="s">
        <v>39</v>
      </c>
      <c r="F4" s="2" t="s">
        <v>40</v>
      </c>
      <c r="G4" s="2">
        <v>22</v>
      </c>
      <c r="H4" s="2" t="s">
        <v>23</v>
      </c>
      <c r="I4" s="2" t="s">
        <v>41</v>
      </c>
      <c r="J4" s="3">
        <v>44721</v>
      </c>
      <c r="K4" s="2" t="s">
        <v>42</v>
      </c>
      <c r="L4" s="2" t="s">
        <v>43</v>
      </c>
      <c r="M4" s="2">
        <v>11</v>
      </c>
      <c r="N4" s="2">
        <v>123</v>
      </c>
      <c r="O4" s="2">
        <v>26016</v>
      </c>
      <c r="P4" s="2" t="s">
        <v>27</v>
      </c>
      <c r="Q4" s="9">
        <f>Table2[[#This Row],[Room Booked]]*Table2[[#This Row],[Price]]</f>
        <v>286176</v>
      </c>
      <c r="R4" s="4">
        <v>26341.200000000001</v>
      </c>
    </row>
    <row r="5" spans="1:18" x14ac:dyDescent="0.3">
      <c r="A5" s="2">
        <v>2022</v>
      </c>
      <c r="B5" s="2" t="s">
        <v>44</v>
      </c>
      <c r="C5" s="2" t="s">
        <v>19</v>
      </c>
      <c r="D5" s="2" t="s">
        <v>20</v>
      </c>
      <c r="E5" s="2" t="s">
        <v>21</v>
      </c>
      <c r="F5" s="2" t="s">
        <v>45</v>
      </c>
      <c r="G5" s="2">
        <v>56</v>
      </c>
      <c r="H5" s="2" t="s">
        <v>23</v>
      </c>
      <c r="I5" s="2" t="s">
        <v>41</v>
      </c>
      <c r="J5" s="3">
        <v>44837</v>
      </c>
      <c r="K5" s="2" t="s">
        <v>46</v>
      </c>
      <c r="L5" s="2" t="s">
        <v>34</v>
      </c>
      <c r="M5" s="2">
        <v>19</v>
      </c>
      <c r="N5" s="2">
        <v>86</v>
      </c>
      <c r="O5" s="2">
        <v>4639</v>
      </c>
      <c r="P5" s="2" t="s">
        <v>27</v>
      </c>
      <c r="Q5" s="9">
        <f>Table2[[#This Row],[Room Booked]]*Table2[[#This Row],[Price]]</f>
        <v>88141</v>
      </c>
      <c r="R5" s="4">
        <v>65409.899999999994</v>
      </c>
    </row>
    <row r="6" spans="1:18" x14ac:dyDescent="0.3">
      <c r="A6" s="2">
        <v>2022</v>
      </c>
      <c r="B6" s="2" t="s">
        <v>47</v>
      </c>
      <c r="C6" s="2" t="s">
        <v>29</v>
      </c>
      <c r="D6" s="2" t="s">
        <v>30</v>
      </c>
      <c r="E6" s="2" t="s">
        <v>31</v>
      </c>
      <c r="F6" s="2" t="s">
        <v>48</v>
      </c>
      <c r="G6" s="2">
        <v>56</v>
      </c>
      <c r="H6" s="2" t="s">
        <v>23</v>
      </c>
      <c r="I6" s="2" t="s">
        <v>24</v>
      </c>
      <c r="J6" s="3">
        <v>44914</v>
      </c>
      <c r="K6" s="2" t="s">
        <v>49</v>
      </c>
      <c r="L6" s="2" t="s">
        <v>34</v>
      </c>
      <c r="M6" s="2">
        <v>47</v>
      </c>
      <c r="N6" s="2">
        <v>121</v>
      </c>
      <c r="O6" s="2">
        <v>73568</v>
      </c>
      <c r="P6" s="2" t="s">
        <v>50</v>
      </c>
      <c r="Q6" s="9">
        <f>Table2[[#This Row],[Room Booked]]*Table2[[#This Row],[Price]]</f>
        <v>3457696</v>
      </c>
      <c r="R6" s="4">
        <v>197433.60000000001</v>
      </c>
    </row>
    <row r="7" spans="1:18" x14ac:dyDescent="0.3">
      <c r="A7" s="2">
        <v>2023</v>
      </c>
      <c r="B7" s="2" t="s">
        <v>51</v>
      </c>
      <c r="C7" s="2" t="s">
        <v>37</v>
      </c>
      <c r="D7" s="2" t="s">
        <v>38</v>
      </c>
      <c r="E7" s="2" t="s">
        <v>39</v>
      </c>
      <c r="F7" s="2" t="s">
        <v>52</v>
      </c>
      <c r="G7" s="2">
        <v>52</v>
      </c>
      <c r="H7" s="2" t="s">
        <v>33</v>
      </c>
      <c r="I7" s="2" t="s">
        <v>24</v>
      </c>
      <c r="J7" s="3">
        <v>45184</v>
      </c>
      <c r="K7" s="2" t="s">
        <v>25</v>
      </c>
      <c r="L7" s="2" t="s">
        <v>26</v>
      </c>
      <c r="M7" s="2">
        <v>22</v>
      </c>
      <c r="N7" s="2">
        <v>123</v>
      </c>
      <c r="O7" s="2">
        <v>7380</v>
      </c>
      <c r="P7" s="2" t="s">
        <v>27</v>
      </c>
      <c r="Q7" s="9">
        <f>Table2[[#This Row],[Room Booked]]*Table2[[#This Row],[Price]]</f>
        <v>162360</v>
      </c>
      <c r="R7" s="4">
        <v>121770</v>
      </c>
    </row>
    <row r="8" spans="1:18" x14ac:dyDescent="0.3">
      <c r="A8" s="2">
        <v>2022</v>
      </c>
      <c r="B8" s="2" t="s">
        <v>53</v>
      </c>
      <c r="C8" s="2" t="s">
        <v>19</v>
      </c>
      <c r="D8" s="2" t="s">
        <v>20</v>
      </c>
      <c r="E8" s="2" t="s">
        <v>21</v>
      </c>
      <c r="F8" s="2" t="s">
        <v>54</v>
      </c>
      <c r="G8" s="2">
        <v>64</v>
      </c>
      <c r="H8" s="2" t="s">
        <v>23</v>
      </c>
      <c r="I8" s="2" t="s">
        <v>24</v>
      </c>
      <c r="J8" s="3">
        <v>44646</v>
      </c>
      <c r="K8" s="2" t="s">
        <v>25</v>
      </c>
      <c r="L8" s="2" t="s">
        <v>34</v>
      </c>
      <c r="M8" s="2">
        <v>26</v>
      </c>
      <c r="N8" s="2">
        <v>114</v>
      </c>
      <c r="O8" s="2">
        <v>3976</v>
      </c>
      <c r="P8" s="2" t="s">
        <v>50</v>
      </c>
      <c r="Q8" s="9">
        <f>Table2[[#This Row],[Room Booked]]*Table2[[#This Row],[Price]]</f>
        <v>103376</v>
      </c>
      <c r="R8" s="4">
        <v>75146.399999999994</v>
      </c>
    </row>
    <row r="9" spans="1:18" x14ac:dyDescent="0.3">
      <c r="A9" s="2">
        <v>2022</v>
      </c>
      <c r="B9" s="2" t="s">
        <v>55</v>
      </c>
      <c r="C9" s="2" t="s">
        <v>29</v>
      </c>
      <c r="D9" s="2" t="s">
        <v>30</v>
      </c>
      <c r="E9" s="2" t="s">
        <v>31</v>
      </c>
      <c r="F9" s="2" t="s">
        <v>56</v>
      </c>
      <c r="G9" s="2">
        <v>22</v>
      </c>
      <c r="H9" s="2" t="s">
        <v>33</v>
      </c>
      <c r="I9" s="2" t="s">
        <v>24</v>
      </c>
      <c r="J9" s="3">
        <v>44782</v>
      </c>
      <c r="K9" s="2" t="s">
        <v>42</v>
      </c>
      <c r="L9" s="2" t="s">
        <v>26</v>
      </c>
      <c r="M9" s="2">
        <v>38</v>
      </c>
      <c r="N9" s="2">
        <v>105</v>
      </c>
      <c r="O9" s="2">
        <v>35248</v>
      </c>
      <c r="P9" s="2" t="s">
        <v>35</v>
      </c>
      <c r="Q9" s="9">
        <f>Table2[[#This Row],[Room Booked]]*Table2[[#This Row],[Price]]</f>
        <v>1339424</v>
      </c>
      <c r="R9" s="4">
        <v>91204.2</v>
      </c>
    </row>
    <row r="10" spans="1:18" x14ac:dyDescent="0.3">
      <c r="A10" s="2">
        <v>2023</v>
      </c>
      <c r="B10" s="2" t="s">
        <v>57</v>
      </c>
      <c r="C10" s="2" t="s">
        <v>37</v>
      </c>
      <c r="D10" s="2" t="s">
        <v>38</v>
      </c>
      <c r="E10" s="2" t="s">
        <v>39</v>
      </c>
      <c r="F10" s="2" t="s">
        <v>58</v>
      </c>
      <c r="G10" s="2">
        <v>49</v>
      </c>
      <c r="H10" s="2" t="s">
        <v>23</v>
      </c>
      <c r="I10" s="2" t="s">
        <v>24</v>
      </c>
      <c r="J10" s="3">
        <v>45062</v>
      </c>
      <c r="K10" s="2" t="s">
        <v>42</v>
      </c>
      <c r="L10" s="2" t="s">
        <v>26</v>
      </c>
      <c r="M10" s="2">
        <v>62</v>
      </c>
      <c r="N10" s="2">
        <v>109</v>
      </c>
      <c r="O10" s="2">
        <v>42008</v>
      </c>
      <c r="P10" s="2" t="s">
        <v>35</v>
      </c>
      <c r="Q10" s="9">
        <f>Table2[[#This Row],[Room Booked]]*Table2[[#This Row],[Price]]</f>
        <v>2604496</v>
      </c>
      <c r="R10" s="4">
        <v>97668.599999999991</v>
      </c>
    </row>
    <row r="11" spans="1:18" x14ac:dyDescent="0.3">
      <c r="A11" s="2">
        <v>2022</v>
      </c>
      <c r="B11" s="2" t="s">
        <v>18</v>
      </c>
      <c r="C11" s="2" t="s">
        <v>59</v>
      </c>
      <c r="D11" s="2" t="s">
        <v>60</v>
      </c>
      <c r="E11" s="2" t="s">
        <v>61</v>
      </c>
      <c r="F11" s="2" t="s">
        <v>62</v>
      </c>
      <c r="G11" s="2">
        <v>46</v>
      </c>
      <c r="H11" s="2" t="s">
        <v>23</v>
      </c>
      <c r="I11" s="2" t="s">
        <v>41</v>
      </c>
      <c r="J11" s="3">
        <v>44576</v>
      </c>
      <c r="K11" s="2" t="s">
        <v>49</v>
      </c>
      <c r="L11" s="2" t="s">
        <v>34</v>
      </c>
      <c r="M11" s="2">
        <v>16</v>
      </c>
      <c r="N11" s="2">
        <v>99</v>
      </c>
      <c r="O11" s="2">
        <v>20104</v>
      </c>
      <c r="P11" s="2" t="s">
        <v>63</v>
      </c>
      <c r="Q11" s="9">
        <f>Table2[[#This Row],[Room Booked]]*Table2[[#This Row],[Price]]</f>
        <v>321664</v>
      </c>
      <c r="R11" s="4">
        <v>104549.4</v>
      </c>
    </row>
    <row r="12" spans="1:18" x14ac:dyDescent="0.3">
      <c r="A12" s="2">
        <v>2022</v>
      </c>
      <c r="B12" s="2" t="s">
        <v>44</v>
      </c>
      <c r="C12" s="2" t="s">
        <v>19</v>
      </c>
      <c r="D12" s="2" t="s">
        <v>20</v>
      </c>
      <c r="E12" s="2" t="s">
        <v>21</v>
      </c>
      <c r="F12" s="2" t="s">
        <v>64</v>
      </c>
      <c r="G12" s="2">
        <v>38</v>
      </c>
      <c r="H12" s="2" t="s">
        <v>23</v>
      </c>
      <c r="I12" s="2" t="s">
        <v>24</v>
      </c>
      <c r="J12" s="3">
        <v>44850</v>
      </c>
      <c r="K12" s="2" t="s">
        <v>65</v>
      </c>
      <c r="L12" s="2" t="s">
        <v>34</v>
      </c>
      <c r="M12" s="2">
        <v>16</v>
      </c>
      <c r="N12" s="2">
        <v>115</v>
      </c>
      <c r="O12" s="2">
        <v>9707</v>
      </c>
      <c r="P12" s="2" t="s">
        <v>63</v>
      </c>
      <c r="Q12" s="9">
        <f>Table2[[#This Row],[Room Booked]]*Table2[[#This Row],[Price]]</f>
        <v>155312</v>
      </c>
      <c r="R12" s="4">
        <v>270825.3</v>
      </c>
    </row>
    <row r="13" spans="1:18" x14ac:dyDescent="0.3">
      <c r="A13" s="2">
        <v>2023</v>
      </c>
      <c r="B13" s="2" t="s">
        <v>51</v>
      </c>
      <c r="C13" s="2" t="s">
        <v>19</v>
      </c>
      <c r="D13" s="2" t="s">
        <v>20</v>
      </c>
      <c r="E13" s="2" t="s">
        <v>21</v>
      </c>
      <c r="F13" s="2" t="s">
        <v>66</v>
      </c>
      <c r="G13" s="2">
        <v>56</v>
      </c>
      <c r="H13" s="2" t="s">
        <v>23</v>
      </c>
      <c r="I13" s="2" t="s">
        <v>24</v>
      </c>
      <c r="J13" s="3">
        <v>45182</v>
      </c>
      <c r="K13" s="2" t="s">
        <v>25</v>
      </c>
      <c r="L13" s="2" t="s">
        <v>34</v>
      </c>
      <c r="M13" s="2">
        <v>24</v>
      </c>
      <c r="N13" s="2">
        <v>80</v>
      </c>
      <c r="O13" s="2">
        <v>340</v>
      </c>
      <c r="P13" s="2" t="s">
        <v>27</v>
      </c>
      <c r="Q13" s="9">
        <f>Table2[[#This Row],[Room Booked]]*Table2[[#This Row],[Price]]</f>
        <v>8160</v>
      </c>
      <c r="R13" s="4">
        <v>6018</v>
      </c>
    </row>
    <row r="14" spans="1:18" x14ac:dyDescent="0.3">
      <c r="A14" s="2">
        <v>2023</v>
      </c>
      <c r="B14" s="2" t="s">
        <v>36</v>
      </c>
      <c r="C14" s="2" t="s">
        <v>29</v>
      </c>
      <c r="D14" s="2" t="s">
        <v>30</v>
      </c>
      <c r="E14" s="2" t="s">
        <v>31</v>
      </c>
      <c r="F14" s="2" t="s">
        <v>67</v>
      </c>
      <c r="G14" s="2">
        <v>35</v>
      </c>
      <c r="H14" s="2" t="s">
        <v>33</v>
      </c>
      <c r="I14" s="2" t="s">
        <v>41</v>
      </c>
      <c r="J14" s="3">
        <v>45095</v>
      </c>
      <c r="K14" s="2" t="s">
        <v>68</v>
      </c>
      <c r="L14" s="2" t="s">
        <v>26</v>
      </c>
      <c r="M14" s="2">
        <v>27</v>
      </c>
      <c r="N14" s="2">
        <v>109</v>
      </c>
      <c r="O14" s="2">
        <v>76704</v>
      </c>
      <c r="P14" s="2" t="s">
        <v>50</v>
      </c>
      <c r="Q14" s="9">
        <f>Table2[[#This Row],[Room Booked]]*Table2[[#This Row],[Price]]</f>
        <v>2071008</v>
      </c>
      <c r="R14" s="4">
        <v>86702.7</v>
      </c>
    </row>
    <row r="15" spans="1:18" x14ac:dyDescent="0.3">
      <c r="A15" s="2">
        <v>2022</v>
      </c>
      <c r="B15" s="2" t="s">
        <v>69</v>
      </c>
      <c r="C15" s="2" t="s">
        <v>70</v>
      </c>
      <c r="D15" s="2" t="s">
        <v>71</v>
      </c>
      <c r="E15" s="2" t="s">
        <v>72</v>
      </c>
      <c r="F15" s="2" t="s">
        <v>73</v>
      </c>
      <c r="G15" s="2">
        <v>56</v>
      </c>
      <c r="H15" s="2" t="s">
        <v>23</v>
      </c>
      <c r="I15" s="2" t="s">
        <v>41</v>
      </c>
      <c r="J15" s="3">
        <v>44892</v>
      </c>
      <c r="K15" s="2" t="s">
        <v>49</v>
      </c>
      <c r="L15" s="2" t="s">
        <v>43</v>
      </c>
      <c r="M15" s="2">
        <v>34</v>
      </c>
      <c r="N15" s="2">
        <v>96</v>
      </c>
      <c r="O15" s="2">
        <v>17304</v>
      </c>
      <c r="P15" s="2" t="s">
        <v>27</v>
      </c>
      <c r="Q15" s="9">
        <f>Table2[[#This Row],[Room Booked]]*Table2[[#This Row],[Price]]</f>
        <v>588336</v>
      </c>
      <c r="R15" s="4">
        <v>17952.899999999998</v>
      </c>
    </row>
    <row r="16" spans="1:18" x14ac:dyDescent="0.3">
      <c r="A16" s="2">
        <v>2023</v>
      </c>
      <c r="B16" s="2" t="s">
        <v>44</v>
      </c>
      <c r="C16" s="2" t="s">
        <v>19</v>
      </c>
      <c r="D16" s="2" t="s">
        <v>20</v>
      </c>
      <c r="E16" s="2" t="s">
        <v>21</v>
      </c>
      <c r="F16" s="2" t="s">
        <v>74</v>
      </c>
      <c r="G16" s="2">
        <v>56</v>
      </c>
      <c r="H16" s="2" t="s">
        <v>23</v>
      </c>
      <c r="I16" s="2" t="s">
        <v>24</v>
      </c>
      <c r="J16" s="3">
        <v>45202</v>
      </c>
      <c r="K16" s="2" t="s">
        <v>49</v>
      </c>
      <c r="L16" s="2" t="s">
        <v>26</v>
      </c>
      <c r="M16" s="2">
        <v>14</v>
      </c>
      <c r="N16" s="2">
        <v>105</v>
      </c>
      <c r="O16" s="2">
        <v>155856</v>
      </c>
      <c r="P16" s="2" t="s">
        <v>27</v>
      </c>
      <c r="Q16" s="9">
        <f>Table2[[#This Row],[Room Booked]]*Table2[[#This Row],[Price]]</f>
        <v>2181984</v>
      </c>
      <c r="R16" s="4">
        <v>64290.6</v>
      </c>
    </row>
    <row r="17" spans="1:18" x14ac:dyDescent="0.3">
      <c r="A17" s="2">
        <v>2022</v>
      </c>
      <c r="B17" s="2" t="s">
        <v>44</v>
      </c>
      <c r="C17" s="2" t="s">
        <v>19</v>
      </c>
      <c r="D17" s="2" t="s">
        <v>20</v>
      </c>
      <c r="E17" s="2" t="s">
        <v>21</v>
      </c>
      <c r="F17" s="2" t="s">
        <v>75</v>
      </c>
      <c r="G17" s="2">
        <v>55</v>
      </c>
      <c r="H17" s="2" t="s">
        <v>23</v>
      </c>
      <c r="I17" s="2" t="s">
        <v>24</v>
      </c>
      <c r="J17" s="3">
        <v>44860</v>
      </c>
      <c r="K17" s="2" t="s">
        <v>65</v>
      </c>
      <c r="L17" s="2" t="s">
        <v>34</v>
      </c>
      <c r="M17" s="2">
        <v>21</v>
      </c>
      <c r="N17" s="2">
        <v>92</v>
      </c>
      <c r="O17" s="2">
        <v>1945</v>
      </c>
      <c r="P17" s="2" t="s">
        <v>50</v>
      </c>
      <c r="Q17" s="9">
        <f>Table2[[#This Row],[Room Booked]]*Table2[[#This Row],[Price]]</f>
        <v>40845</v>
      </c>
      <c r="R17" s="4">
        <v>19255.5</v>
      </c>
    </row>
    <row r="18" spans="1:18" x14ac:dyDescent="0.3">
      <c r="A18" s="2">
        <v>2023</v>
      </c>
      <c r="B18" s="2" t="s">
        <v>76</v>
      </c>
      <c r="C18" s="2" t="s">
        <v>70</v>
      </c>
      <c r="D18" s="2" t="s">
        <v>71</v>
      </c>
      <c r="E18" s="2" t="s">
        <v>72</v>
      </c>
      <c r="F18" s="2" t="s">
        <v>77</v>
      </c>
      <c r="G18" s="2">
        <v>19</v>
      </c>
      <c r="H18" s="2" t="s">
        <v>23</v>
      </c>
      <c r="I18" s="2" t="s">
        <v>24</v>
      </c>
      <c r="J18" s="3">
        <v>45138</v>
      </c>
      <c r="K18" s="2" t="s">
        <v>42</v>
      </c>
      <c r="L18" s="2" t="s">
        <v>43</v>
      </c>
      <c r="M18" s="2">
        <v>16</v>
      </c>
      <c r="N18" s="2">
        <v>110</v>
      </c>
      <c r="O18" s="2">
        <v>75528</v>
      </c>
      <c r="P18" s="2" t="s">
        <v>63</v>
      </c>
      <c r="Q18" s="9">
        <f>Table2[[#This Row],[Room Booked]]*Table2[[#This Row],[Price]]</f>
        <v>1208448</v>
      </c>
      <c r="R18" s="4">
        <v>107627.4</v>
      </c>
    </row>
    <row r="19" spans="1:18" x14ac:dyDescent="0.3">
      <c r="A19" s="2">
        <v>2022</v>
      </c>
      <c r="B19" s="2" t="s">
        <v>51</v>
      </c>
      <c r="C19" s="2" t="s">
        <v>59</v>
      </c>
      <c r="D19" s="2" t="s">
        <v>60</v>
      </c>
      <c r="E19" s="2" t="s">
        <v>61</v>
      </c>
      <c r="F19" s="2" t="s">
        <v>78</v>
      </c>
      <c r="G19" s="2">
        <v>58</v>
      </c>
      <c r="H19" s="2" t="s">
        <v>23</v>
      </c>
      <c r="I19" s="2" t="s">
        <v>24</v>
      </c>
      <c r="J19" s="3">
        <v>44811</v>
      </c>
      <c r="K19" s="2" t="s">
        <v>65</v>
      </c>
      <c r="L19" s="2" t="s">
        <v>34</v>
      </c>
      <c r="M19" s="2">
        <v>16</v>
      </c>
      <c r="N19" s="2">
        <v>119</v>
      </c>
      <c r="O19" s="2">
        <v>1683</v>
      </c>
      <c r="P19" s="2" t="s">
        <v>63</v>
      </c>
      <c r="Q19" s="9">
        <f>Table2[[#This Row],[Room Booked]]*Table2[[#This Row],[Price]]</f>
        <v>26928</v>
      </c>
      <c r="R19" s="4">
        <v>19691.099999999999</v>
      </c>
    </row>
    <row r="20" spans="1:18" x14ac:dyDescent="0.3">
      <c r="A20" s="2">
        <v>2022</v>
      </c>
      <c r="B20" s="2" t="s">
        <v>28</v>
      </c>
      <c r="C20" s="2" t="s">
        <v>70</v>
      </c>
      <c r="D20" s="2" t="s">
        <v>71</v>
      </c>
      <c r="E20" s="2" t="s">
        <v>72</v>
      </c>
      <c r="F20" s="2" t="s">
        <v>79</v>
      </c>
      <c r="G20" s="2">
        <v>42</v>
      </c>
      <c r="H20" s="2" t="s">
        <v>33</v>
      </c>
      <c r="I20" s="2" t="s">
        <v>24</v>
      </c>
      <c r="J20" s="3">
        <v>44665</v>
      </c>
      <c r="K20" s="2" t="s">
        <v>80</v>
      </c>
      <c r="L20" s="2" t="s">
        <v>26</v>
      </c>
      <c r="M20" s="2">
        <v>1</v>
      </c>
      <c r="N20" s="2">
        <v>83</v>
      </c>
      <c r="O20" s="2">
        <v>59136</v>
      </c>
      <c r="P20" s="2" t="s">
        <v>50</v>
      </c>
      <c r="Q20" s="9">
        <f>Table2[[#This Row],[Room Booked]]*Table2[[#This Row],[Price]]</f>
        <v>59136</v>
      </c>
      <c r="R20" s="4">
        <v>1108.8</v>
      </c>
    </row>
    <row r="21" spans="1:18" x14ac:dyDescent="0.3">
      <c r="A21" s="2">
        <v>2023</v>
      </c>
      <c r="B21" s="2" t="s">
        <v>47</v>
      </c>
      <c r="C21" s="2" t="s">
        <v>37</v>
      </c>
      <c r="D21" s="2" t="s">
        <v>38</v>
      </c>
      <c r="E21" s="2" t="s">
        <v>39</v>
      </c>
      <c r="F21" s="2" t="s">
        <v>81</v>
      </c>
      <c r="G21" s="2">
        <v>56</v>
      </c>
      <c r="H21" s="2" t="s">
        <v>23</v>
      </c>
      <c r="I21" s="2" t="s">
        <v>24</v>
      </c>
      <c r="J21" s="3">
        <v>45262</v>
      </c>
      <c r="K21" s="2" t="s">
        <v>46</v>
      </c>
      <c r="L21" s="2" t="s">
        <v>43</v>
      </c>
      <c r="M21" s="2">
        <v>38</v>
      </c>
      <c r="N21" s="2">
        <v>113</v>
      </c>
      <c r="O21" s="2">
        <v>5517</v>
      </c>
      <c r="P21" s="2" t="s">
        <v>63</v>
      </c>
      <c r="Q21" s="9">
        <f>Table2[[#This Row],[Room Booked]]*Table2[[#This Row],[Price]]</f>
        <v>209646</v>
      </c>
      <c r="R21" s="4">
        <v>122477.4</v>
      </c>
    </row>
    <row r="22" spans="1:18" x14ac:dyDescent="0.3">
      <c r="A22" s="2">
        <v>2023</v>
      </c>
      <c r="B22" s="2" t="s">
        <v>18</v>
      </c>
      <c r="C22" s="2" t="s">
        <v>19</v>
      </c>
      <c r="D22" s="2" t="s">
        <v>20</v>
      </c>
      <c r="E22" s="2" t="s">
        <v>21</v>
      </c>
      <c r="F22" s="2" t="s">
        <v>82</v>
      </c>
      <c r="G22" s="2">
        <v>56</v>
      </c>
      <c r="H22" s="2" t="s">
        <v>33</v>
      </c>
      <c r="I22" s="2" t="s">
        <v>24</v>
      </c>
      <c r="J22" s="3">
        <v>44951</v>
      </c>
      <c r="K22" s="2" t="s">
        <v>25</v>
      </c>
      <c r="L22" s="2" t="s">
        <v>43</v>
      </c>
      <c r="M22" s="2">
        <v>8</v>
      </c>
      <c r="N22" s="2">
        <v>98</v>
      </c>
      <c r="O22" s="2">
        <v>3137</v>
      </c>
      <c r="P22" s="2" t="s">
        <v>27</v>
      </c>
      <c r="Q22" s="9">
        <f>Table2[[#This Row],[Room Booked]]*Table2[[#This Row],[Price]]</f>
        <v>25096</v>
      </c>
      <c r="R22" s="4">
        <v>82816.800000000003</v>
      </c>
    </row>
    <row r="23" spans="1:18" x14ac:dyDescent="0.3">
      <c r="A23" s="2">
        <v>2023</v>
      </c>
      <c r="B23" s="2" t="s">
        <v>76</v>
      </c>
      <c r="C23" s="2" t="s">
        <v>70</v>
      </c>
      <c r="D23" s="2" t="s">
        <v>71</v>
      </c>
      <c r="E23" s="2" t="s">
        <v>72</v>
      </c>
      <c r="F23" s="2" t="s">
        <v>83</v>
      </c>
      <c r="G23" s="2">
        <v>71</v>
      </c>
      <c r="H23" s="2" t="s">
        <v>33</v>
      </c>
      <c r="I23" s="2" t="s">
        <v>24</v>
      </c>
      <c r="J23" s="3">
        <v>45114</v>
      </c>
      <c r="K23" s="2" t="s">
        <v>49</v>
      </c>
      <c r="L23" s="2" t="s">
        <v>43</v>
      </c>
      <c r="M23" s="2">
        <v>3</v>
      </c>
      <c r="N23" s="2">
        <v>89</v>
      </c>
      <c r="O23" s="2">
        <v>93488</v>
      </c>
      <c r="P23" s="2" t="s">
        <v>27</v>
      </c>
      <c r="Q23" s="9">
        <f>Table2[[#This Row],[Room Booked]]*Table2[[#This Row],[Price]]</f>
        <v>280464</v>
      </c>
      <c r="R23" s="4">
        <v>16930.2</v>
      </c>
    </row>
    <row r="24" spans="1:18" x14ac:dyDescent="0.3">
      <c r="A24" s="2">
        <v>2022</v>
      </c>
      <c r="B24" s="2" t="s">
        <v>18</v>
      </c>
      <c r="C24" s="2" t="s">
        <v>70</v>
      </c>
      <c r="D24" s="2" t="s">
        <v>71</v>
      </c>
      <c r="E24" s="2" t="s">
        <v>72</v>
      </c>
      <c r="F24" s="2" t="s">
        <v>84</v>
      </c>
      <c r="G24" s="2">
        <v>21</v>
      </c>
      <c r="H24" s="2" t="s">
        <v>23</v>
      </c>
      <c r="I24" s="2" t="s">
        <v>24</v>
      </c>
      <c r="J24" s="3">
        <v>44586</v>
      </c>
      <c r="K24" s="2" t="s">
        <v>49</v>
      </c>
      <c r="L24" s="2" t="s">
        <v>26</v>
      </c>
      <c r="M24" s="2">
        <v>38</v>
      </c>
      <c r="N24" s="2">
        <v>92</v>
      </c>
      <c r="O24" s="2">
        <v>6456</v>
      </c>
      <c r="P24" s="2" t="s">
        <v>50</v>
      </c>
      <c r="Q24" s="9">
        <f>Table2[[#This Row],[Room Booked]]*Table2[[#This Row],[Price]]</f>
        <v>245328</v>
      </c>
      <c r="R24" s="4">
        <v>216755.1</v>
      </c>
    </row>
    <row r="25" spans="1:18" x14ac:dyDescent="0.3">
      <c r="A25" s="2">
        <v>2023</v>
      </c>
      <c r="B25" s="2" t="s">
        <v>69</v>
      </c>
      <c r="C25" s="2" t="s">
        <v>37</v>
      </c>
      <c r="D25" s="2" t="s">
        <v>38</v>
      </c>
      <c r="E25" s="2" t="s">
        <v>39</v>
      </c>
      <c r="F25" s="2" t="s">
        <v>85</v>
      </c>
      <c r="G25" s="2">
        <v>31</v>
      </c>
      <c r="H25" s="2" t="s">
        <v>33</v>
      </c>
      <c r="I25" s="2" t="s">
        <v>24</v>
      </c>
      <c r="J25" s="3">
        <v>45249</v>
      </c>
      <c r="K25" s="2" t="s">
        <v>46</v>
      </c>
      <c r="L25" s="2" t="s">
        <v>26</v>
      </c>
      <c r="M25" s="2">
        <v>44</v>
      </c>
      <c r="N25" s="2">
        <v>121</v>
      </c>
      <c r="O25" s="2">
        <v>8790</v>
      </c>
      <c r="P25" s="2" t="s">
        <v>35</v>
      </c>
      <c r="Q25" s="9">
        <f>Table2[[#This Row],[Room Booked]]*Table2[[#This Row],[Price]]</f>
        <v>386760</v>
      </c>
      <c r="R25" s="4">
        <v>152946</v>
      </c>
    </row>
    <row r="26" spans="1:18" x14ac:dyDescent="0.3">
      <c r="A26" s="2">
        <v>2022</v>
      </c>
      <c r="B26" s="2" t="s">
        <v>69</v>
      </c>
      <c r="C26" s="2" t="s">
        <v>19</v>
      </c>
      <c r="D26" s="2" t="s">
        <v>20</v>
      </c>
      <c r="E26" s="2" t="s">
        <v>21</v>
      </c>
      <c r="F26" s="2" t="s">
        <v>86</v>
      </c>
      <c r="G26" s="2">
        <v>29</v>
      </c>
      <c r="H26" s="2" t="s">
        <v>23</v>
      </c>
      <c r="I26" s="2" t="s">
        <v>24</v>
      </c>
      <c r="J26" s="3">
        <v>44885</v>
      </c>
      <c r="K26" s="2" t="s">
        <v>46</v>
      </c>
      <c r="L26" s="2" t="s">
        <v>43</v>
      </c>
      <c r="M26" s="2">
        <v>7</v>
      </c>
      <c r="N26" s="2">
        <v>111</v>
      </c>
      <c r="O26" s="2">
        <v>9488</v>
      </c>
      <c r="P26" s="2" t="s">
        <v>27</v>
      </c>
      <c r="Q26" s="9">
        <f>Table2[[#This Row],[Room Booked]]*Table2[[#This Row],[Price]]</f>
        <v>66416</v>
      </c>
      <c r="R26" s="4">
        <v>19924.8</v>
      </c>
    </row>
    <row r="27" spans="1:18" x14ac:dyDescent="0.3">
      <c r="A27" s="2">
        <v>2023</v>
      </c>
      <c r="B27" s="2" t="s">
        <v>57</v>
      </c>
      <c r="C27" s="2" t="s">
        <v>87</v>
      </c>
      <c r="D27" s="2" t="s">
        <v>71</v>
      </c>
      <c r="E27" s="2" t="s">
        <v>72</v>
      </c>
      <c r="F27" s="2" t="s">
        <v>88</v>
      </c>
      <c r="G27" s="2">
        <v>69</v>
      </c>
      <c r="H27" s="2" t="s">
        <v>23</v>
      </c>
      <c r="I27" s="2" t="s">
        <v>24</v>
      </c>
      <c r="J27" s="3">
        <v>45068</v>
      </c>
      <c r="K27" s="2" t="s">
        <v>65</v>
      </c>
      <c r="L27" s="2" t="s">
        <v>26</v>
      </c>
      <c r="M27" s="2">
        <v>21</v>
      </c>
      <c r="N27" s="2">
        <v>108</v>
      </c>
      <c r="O27" s="2">
        <v>5691</v>
      </c>
      <c r="P27" s="2" t="s">
        <v>27</v>
      </c>
      <c r="Q27" s="9">
        <f>Table2[[#This Row],[Room Booked]]*Table2[[#This Row],[Price]]</f>
        <v>119511</v>
      </c>
      <c r="R27" s="4">
        <v>88779.599999999991</v>
      </c>
    </row>
    <row r="28" spans="1:18" x14ac:dyDescent="0.3">
      <c r="A28" s="2">
        <v>2023</v>
      </c>
      <c r="B28" s="2" t="s">
        <v>51</v>
      </c>
      <c r="C28" s="2" t="s">
        <v>19</v>
      </c>
      <c r="D28" s="2" t="s">
        <v>20</v>
      </c>
      <c r="E28" s="2" t="s">
        <v>21</v>
      </c>
      <c r="F28" s="2" t="s">
        <v>89</v>
      </c>
      <c r="G28" s="2">
        <v>58</v>
      </c>
      <c r="H28" s="2" t="s">
        <v>23</v>
      </c>
      <c r="I28" s="2" t="s">
        <v>24</v>
      </c>
      <c r="J28" s="3">
        <v>45190</v>
      </c>
      <c r="K28" s="2" t="s">
        <v>25</v>
      </c>
      <c r="L28" s="2" t="s">
        <v>34</v>
      </c>
      <c r="M28" s="2">
        <v>16</v>
      </c>
      <c r="N28" s="2">
        <v>99</v>
      </c>
      <c r="O28" s="2">
        <v>9224</v>
      </c>
      <c r="P28" s="2" t="s">
        <v>27</v>
      </c>
      <c r="Q28" s="9">
        <f>Table2[[#This Row],[Room Booked]]*Table2[[#This Row],[Price]]</f>
        <v>147584</v>
      </c>
      <c r="R28" s="4">
        <v>132825.60000000001</v>
      </c>
    </row>
    <row r="29" spans="1:18" x14ac:dyDescent="0.3">
      <c r="A29" s="2">
        <v>2023</v>
      </c>
      <c r="B29" s="2" t="s">
        <v>57</v>
      </c>
      <c r="C29" s="2" t="s">
        <v>59</v>
      </c>
      <c r="D29" s="2" t="s">
        <v>20</v>
      </c>
      <c r="E29" s="2" t="s">
        <v>21</v>
      </c>
      <c r="F29" s="2" t="s">
        <v>90</v>
      </c>
      <c r="G29" s="2">
        <v>56</v>
      </c>
      <c r="H29" s="2" t="s">
        <v>23</v>
      </c>
      <c r="I29" s="2" t="s">
        <v>41</v>
      </c>
      <c r="J29" s="3">
        <v>45074</v>
      </c>
      <c r="K29" s="2" t="s">
        <v>42</v>
      </c>
      <c r="L29" s="2" t="s">
        <v>43</v>
      </c>
      <c r="M29" s="2">
        <v>2</v>
      </c>
      <c r="N29" s="2">
        <v>80</v>
      </c>
      <c r="O29" s="2">
        <v>51720</v>
      </c>
      <c r="P29" s="2" t="s">
        <v>27</v>
      </c>
      <c r="Q29" s="9">
        <f>Table2[[#This Row],[Room Booked]]*Table2[[#This Row],[Price]]</f>
        <v>103440</v>
      </c>
      <c r="R29" s="4">
        <v>9697.5</v>
      </c>
    </row>
    <row r="30" spans="1:18" x14ac:dyDescent="0.3">
      <c r="A30" s="2">
        <v>2022</v>
      </c>
      <c r="B30" s="2" t="s">
        <v>53</v>
      </c>
      <c r="C30" s="2" t="s">
        <v>91</v>
      </c>
      <c r="D30" s="2" t="s">
        <v>92</v>
      </c>
      <c r="E30" s="2" t="s">
        <v>93</v>
      </c>
      <c r="F30" s="2" t="s">
        <v>22</v>
      </c>
      <c r="G30" s="2">
        <v>57</v>
      </c>
      <c r="H30" s="2" t="s">
        <v>23</v>
      </c>
      <c r="I30" s="2" t="s">
        <v>41</v>
      </c>
      <c r="J30" s="3">
        <v>44622</v>
      </c>
      <c r="K30" s="2" t="s">
        <v>46</v>
      </c>
      <c r="L30" s="2" t="s">
        <v>34</v>
      </c>
      <c r="M30" s="2">
        <v>14</v>
      </c>
      <c r="N30" s="2">
        <v>109</v>
      </c>
      <c r="O30" s="2">
        <v>4524</v>
      </c>
      <c r="P30" s="2" t="s">
        <v>27</v>
      </c>
      <c r="Q30" s="9">
        <f>Table2[[#This Row],[Room Booked]]*Table2[[#This Row],[Price]]</f>
        <v>63336</v>
      </c>
      <c r="R30" s="4">
        <v>44787.6</v>
      </c>
    </row>
    <row r="31" spans="1:18" x14ac:dyDescent="0.3">
      <c r="A31" s="2">
        <v>2022</v>
      </c>
      <c r="B31" s="2" t="s">
        <v>53</v>
      </c>
      <c r="C31" s="2" t="s">
        <v>91</v>
      </c>
      <c r="D31" s="2" t="s">
        <v>92</v>
      </c>
      <c r="E31" s="2" t="s">
        <v>93</v>
      </c>
      <c r="F31" s="2" t="s">
        <v>32</v>
      </c>
      <c r="G31" s="2">
        <v>57</v>
      </c>
      <c r="H31" s="2" t="s">
        <v>33</v>
      </c>
      <c r="I31" s="2" t="s">
        <v>41</v>
      </c>
      <c r="J31" s="3">
        <v>44624</v>
      </c>
      <c r="K31" s="2" t="s">
        <v>65</v>
      </c>
      <c r="L31" s="2" t="s">
        <v>43</v>
      </c>
      <c r="M31" s="2">
        <v>39</v>
      </c>
      <c r="N31" s="2">
        <v>82</v>
      </c>
      <c r="O31" s="2">
        <v>2691</v>
      </c>
      <c r="P31" s="2" t="s">
        <v>63</v>
      </c>
      <c r="Q31" s="9">
        <f>Table2[[#This Row],[Room Booked]]*Table2[[#This Row],[Price]]</f>
        <v>104949</v>
      </c>
      <c r="R31" s="4">
        <v>78308.099999999991</v>
      </c>
    </row>
    <row r="32" spans="1:18" x14ac:dyDescent="0.3">
      <c r="A32" s="2">
        <v>2023</v>
      </c>
      <c r="B32" s="2" t="s">
        <v>51</v>
      </c>
      <c r="C32" s="2" t="s">
        <v>29</v>
      </c>
      <c r="D32" s="2" t="s">
        <v>20</v>
      </c>
      <c r="E32" s="2" t="s">
        <v>21</v>
      </c>
      <c r="F32" s="2" t="s">
        <v>40</v>
      </c>
      <c r="G32" s="2">
        <v>60</v>
      </c>
      <c r="H32" s="2" t="s">
        <v>33</v>
      </c>
      <c r="I32" s="2" t="s">
        <v>24</v>
      </c>
      <c r="J32" s="3">
        <v>45171</v>
      </c>
      <c r="K32" s="2" t="s">
        <v>49</v>
      </c>
      <c r="L32" s="2" t="s">
        <v>34</v>
      </c>
      <c r="M32" s="2">
        <v>43</v>
      </c>
      <c r="N32" s="2">
        <v>104</v>
      </c>
      <c r="O32" s="2">
        <v>93888</v>
      </c>
      <c r="P32" s="2" t="s">
        <v>63</v>
      </c>
      <c r="Q32" s="9">
        <f>Table2[[#This Row],[Room Booked]]*Table2[[#This Row],[Price]]</f>
        <v>4037184</v>
      </c>
      <c r="R32" s="4">
        <v>96235.199999999997</v>
      </c>
    </row>
    <row r="33" spans="1:18" x14ac:dyDescent="0.3">
      <c r="A33" s="2">
        <v>2023</v>
      </c>
      <c r="B33" s="2" t="s">
        <v>69</v>
      </c>
      <c r="C33" s="2" t="s">
        <v>37</v>
      </c>
      <c r="D33" s="2" t="s">
        <v>38</v>
      </c>
      <c r="E33" s="2" t="s">
        <v>39</v>
      </c>
      <c r="F33" s="2" t="s">
        <v>45</v>
      </c>
      <c r="G33" s="2">
        <v>28</v>
      </c>
      <c r="H33" s="2" t="s">
        <v>23</v>
      </c>
      <c r="I33" s="2" t="s">
        <v>24</v>
      </c>
      <c r="J33" s="3">
        <v>45243</v>
      </c>
      <c r="K33" s="2" t="s">
        <v>46</v>
      </c>
      <c r="L33" s="2" t="s">
        <v>43</v>
      </c>
      <c r="M33" s="2">
        <v>27</v>
      </c>
      <c r="N33" s="2">
        <v>118</v>
      </c>
      <c r="O33" s="2">
        <v>6681</v>
      </c>
      <c r="P33" s="2" t="s">
        <v>50</v>
      </c>
      <c r="Q33" s="9">
        <f>Table2[[#This Row],[Room Booked]]*Table2[[#This Row],[Price]]</f>
        <v>180387</v>
      </c>
      <c r="R33" s="4">
        <v>132283.79999999999</v>
      </c>
    </row>
    <row r="34" spans="1:18" x14ac:dyDescent="0.3">
      <c r="A34" s="2">
        <v>2023</v>
      </c>
      <c r="B34" s="2" t="s">
        <v>47</v>
      </c>
      <c r="C34" s="2" t="s">
        <v>37</v>
      </c>
      <c r="D34" s="2" t="s">
        <v>38</v>
      </c>
      <c r="E34" s="2" t="s">
        <v>39</v>
      </c>
      <c r="F34" s="2" t="s">
        <v>48</v>
      </c>
      <c r="G34" s="2">
        <v>38</v>
      </c>
      <c r="H34" s="2" t="s">
        <v>23</v>
      </c>
      <c r="I34" s="2" t="s">
        <v>24</v>
      </c>
      <c r="J34" s="3">
        <v>45291</v>
      </c>
      <c r="K34" s="2" t="s">
        <v>42</v>
      </c>
      <c r="L34" s="2" t="s">
        <v>43</v>
      </c>
      <c r="M34" s="2">
        <v>16</v>
      </c>
      <c r="N34" s="2">
        <v>104</v>
      </c>
      <c r="O34" s="2">
        <v>33680</v>
      </c>
      <c r="P34" s="2" t="s">
        <v>35</v>
      </c>
      <c r="Q34" s="9">
        <f>Table2[[#This Row],[Room Booked]]*Table2[[#This Row],[Price]]</f>
        <v>538880</v>
      </c>
      <c r="R34" s="4">
        <v>71991</v>
      </c>
    </row>
    <row r="35" spans="1:18" x14ac:dyDescent="0.3">
      <c r="A35" s="2">
        <v>2022</v>
      </c>
      <c r="B35" s="2" t="s">
        <v>55</v>
      </c>
      <c r="C35" s="2" t="s">
        <v>94</v>
      </c>
      <c r="D35" s="2" t="s">
        <v>20</v>
      </c>
      <c r="E35" s="2" t="s">
        <v>21</v>
      </c>
      <c r="F35" s="2" t="s">
        <v>52</v>
      </c>
      <c r="G35" s="2">
        <v>56</v>
      </c>
      <c r="H35" s="2" t="s">
        <v>33</v>
      </c>
      <c r="I35" s="2" t="s">
        <v>24</v>
      </c>
      <c r="J35" s="3">
        <v>44786</v>
      </c>
      <c r="K35" s="2" t="s">
        <v>65</v>
      </c>
      <c r="L35" s="2" t="s">
        <v>34</v>
      </c>
      <c r="M35" s="2">
        <v>20</v>
      </c>
      <c r="N35" s="2">
        <v>93</v>
      </c>
      <c r="O35" s="2">
        <v>2344</v>
      </c>
      <c r="P35" s="2" t="s">
        <v>27</v>
      </c>
      <c r="Q35" s="9">
        <f>Table2[[#This Row],[Room Booked]]*Table2[[#This Row],[Price]]</f>
        <v>46880</v>
      </c>
      <c r="R35" s="4">
        <v>44301.599999999999</v>
      </c>
    </row>
    <row r="36" spans="1:18" x14ac:dyDescent="0.3">
      <c r="A36" s="2">
        <v>2022</v>
      </c>
      <c r="B36" s="2" t="s">
        <v>18</v>
      </c>
      <c r="C36" s="2" t="s">
        <v>37</v>
      </c>
      <c r="D36" s="2" t="s">
        <v>38</v>
      </c>
      <c r="E36" s="2" t="s">
        <v>39</v>
      </c>
      <c r="F36" s="2" t="s">
        <v>54</v>
      </c>
      <c r="G36" s="2">
        <v>68</v>
      </c>
      <c r="H36" s="2" t="s">
        <v>33</v>
      </c>
      <c r="I36" s="2" t="s">
        <v>24</v>
      </c>
      <c r="J36" s="3">
        <v>44584</v>
      </c>
      <c r="K36" s="2" t="s">
        <v>80</v>
      </c>
      <c r="L36" s="2" t="s">
        <v>43</v>
      </c>
      <c r="M36" s="2">
        <v>76</v>
      </c>
      <c r="N36" s="2">
        <v>110</v>
      </c>
      <c r="O36" s="2">
        <v>161408</v>
      </c>
      <c r="P36" s="2" t="s">
        <v>27</v>
      </c>
      <c r="Q36" s="9">
        <f>Table2[[#This Row],[Room Booked]]*Table2[[#This Row],[Price]]</f>
        <v>12267008</v>
      </c>
      <c r="R36" s="4">
        <v>43882.799999999996</v>
      </c>
    </row>
    <row r="37" spans="1:18" x14ac:dyDescent="0.3">
      <c r="A37" s="2">
        <v>2023</v>
      </c>
      <c r="B37" s="2" t="s">
        <v>53</v>
      </c>
      <c r="C37" s="2" t="s">
        <v>37</v>
      </c>
      <c r="D37" s="2" t="s">
        <v>38</v>
      </c>
      <c r="E37" s="2" t="s">
        <v>39</v>
      </c>
      <c r="F37" s="2" t="s">
        <v>56</v>
      </c>
      <c r="G37" s="2">
        <v>50</v>
      </c>
      <c r="H37" s="2" t="s">
        <v>33</v>
      </c>
      <c r="I37" s="2" t="s">
        <v>24</v>
      </c>
      <c r="J37" s="3">
        <v>44989</v>
      </c>
      <c r="K37" s="2" t="s">
        <v>49</v>
      </c>
      <c r="L37" s="2" t="s">
        <v>43</v>
      </c>
      <c r="M37" s="2">
        <v>20</v>
      </c>
      <c r="N37" s="2">
        <v>81</v>
      </c>
      <c r="O37" s="2">
        <v>114744</v>
      </c>
      <c r="P37" s="2" t="s">
        <v>27</v>
      </c>
      <c r="Q37" s="9">
        <f>Table2[[#This Row],[Room Booked]]*Table2[[#This Row],[Price]]</f>
        <v>2294880</v>
      </c>
      <c r="R37" s="4">
        <v>58806.299999999996</v>
      </c>
    </row>
    <row r="38" spans="1:18" x14ac:dyDescent="0.3">
      <c r="A38" s="2">
        <v>2022</v>
      </c>
      <c r="B38" s="2" t="s">
        <v>47</v>
      </c>
      <c r="C38" s="2" t="s">
        <v>37</v>
      </c>
      <c r="D38" s="2" t="s">
        <v>38</v>
      </c>
      <c r="E38" s="2" t="s">
        <v>39</v>
      </c>
      <c r="F38" s="2" t="s">
        <v>58</v>
      </c>
      <c r="G38" s="2">
        <v>46</v>
      </c>
      <c r="H38" s="2" t="s">
        <v>23</v>
      </c>
      <c r="I38" s="2" t="s">
        <v>24</v>
      </c>
      <c r="J38" s="3">
        <v>44906</v>
      </c>
      <c r="K38" s="2" t="s">
        <v>65</v>
      </c>
      <c r="L38" s="2" t="s">
        <v>43</v>
      </c>
      <c r="M38" s="2">
        <v>32</v>
      </c>
      <c r="N38" s="2">
        <v>101</v>
      </c>
      <c r="O38" s="2">
        <v>7104</v>
      </c>
      <c r="P38" s="2" t="s">
        <v>35</v>
      </c>
      <c r="Q38" s="9">
        <f>Table2[[#This Row],[Room Booked]]*Table2[[#This Row],[Price]]</f>
        <v>227328</v>
      </c>
      <c r="R38" s="4">
        <v>166233.60000000001</v>
      </c>
    </row>
    <row r="39" spans="1:18" x14ac:dyDescent="0.3">
      <c r="A39" s="2">
        <v>2022</v>
      </c>
      <c r="B39" s="2" t="s">
        <v>36</v>
      </c>
      <c r="C39" s="2" t="s">
        <v>87</v>
      </c>
      <c r="D39" s="2" t="s">
        <v>71</v>
      </c>
      <c r="E39" s="2" t="s">
        <v>72</v>
      </c>
      <c r="F39" s="2" t="s">
        <v>62</v>
      </c>
      <c r="G39" s="2">
        <v>47</v>
      </c>
      <c r="H39" s="2" t="s">
        <v>33</v>
      </c>
      <c r="I39" s="2" t="s">
        <v>24</v>
      </c>
      <c r="J39" s="3">
        <v>44727</v>
      </c>
      <c r="K39" s="2" t="s">
        <v>25</v>
      </c>
      <c r="L39" s="2" t="s">
        <v>26</v>
      </c>
      <c r="M39" s="2">
        <v>15</v>
      </c>
      <c r="N39" s="2">
        <v>120</v>
      </c>
      <c r="O39" s="2">
        <v>5655</v>
      </c>
      <c r="P39" s="2" t="s">
        <v>63</v>
      </c>
      <c r="Q39" s="9">
        <f>Table2[[#This Row],[Room Booked]]*Table2[[#This Row],[Price]]</f>
        <v>84825</v>
      </c>
      <c r="R39" s="4">
        <v>62770.5</v>
      </c>
    </row>
    <row r="40" spans="1:18" x14ac:dyDescent="0.3">
      <c r="A40" s="2">
        <v>2023</v>
      </c>
      <c r="B40" s="2" t="s">
        <v>55</v>
      </c>
      <c r="C40" s="2" t="s">
        <v>91</v>
      </c>
      <c r="D40" s="2" t="s">
        <v>20</v>
      </c>
      <c r="E40" s="2" t="s">
        <v>21</v>
      </c>
      <c r="F40" s="2" t="s">
        <v>64</v>
      </c>
      <c r="G40" s="2">
        <v>26</v>
      </c>
      <c r="H40" s="2" t="s">
        <v>33</v>
      </c>
      <c r="I40" s="2" t="s">
        <v>24</v>
      </c>
      <c r="J40" s="3">
        <v>45148</v>
      </c>
      <c r="K40" s="2" t="s">
        <v>25</v>
      </c>
      <c r="L40" s="2" t="s">
        <v>26</v>
      </c>
      <c r="M40" s="2">
        <v>7</v>
      </c>
      <c r="N40" s="2">
        <v>119</v>
      </c>
      <c r="O40" s="2">
        <v>7802</v>
      </c>
      <c r="P40" s="2" t="s">
        <v>27</v>
      </c>
      <c r="Q40" s="9">
        <f>Table2[[#This Row],[Room Booked]]*Table2[[#This Row],[Price]]</f>
        <v>54614</v>
      </c>
      <c r="R40" s="4">
        <v>16384.2</v>
      </c>
    </row>
    <row r="41" spans="1:18" x14ac:dyDescent="0.3">
      <c r="A41" s="2">
        <v>2023</v>
      </c>
      <c r="B41" s="2" t="s">
        <v>28</v>
      </c>
      <c r="C41" s="2" t="s">
        <v>87</v>
      </c>
      <c r="D41" s="2" t="s">
        <v>71</v>
      </c>
      <c r="E41" s="2" t="s">
        <v>72</v>
      </c>
      <c r="F41" s="2" t="s">
        <v>66</v>
      </c>
      <c r="G41" s="2">
        <v>55</v>
      </c>
      <c r="H41" s="2" t="s">
        <v>33</v>
      </c>
      <c r="I41" s="2" t="s">
        <v>24</v>
      </c>
      <c r="J41" s="3">
        <v>45041</v>
      </c>
      <c r="K41" s="2" t="s">
        <v>80</v>
      </c>
      <c r="L41" s="2" t="s">
        <v>26</v>
      </c>
      <c r="M41" s="2">
        <v>7</v>
      </c>
      <c r="N41" s="2">
        <v>84</v>
      </c>
      <c r="O41" s="2">
        <v>19840</v>
      </c>
      <c r="P41" s="2" t="s">
        <v>63</v>
      </c>
      <c r="Q41" s="9">
        <f>Table2[[#This Row],[Room Booked]]*Table2[[#This Row],[Price]]</f>
        <v>138880</v>
      </c>
      <c r="R41" s="4">
        <v>2976</v>
      </c>
    </row>
    <row r="42" spans="1:18" x14ac:dyDescent="0.3">
      <c r="A42" s="2">
        <v>2023</v>
      </c>
      <c r="B42" s="2" t="s">
        <v>36</v>
      </c>
      <c r="C42" s="2" t="s">
        <v>87</v>
      </c>
      <c r="D42" s="2" t="s">
        <v>71</v>
      </c>
      <c r="E42" s="2" t="s">
        <v>72</v>
      </c>
      <c r="F42" s="2" t="s">
        <v>67</v>
      </c>
      <c r="G42" s="2">
        <v>57</v>
      </c>
      <c r="H42" s="2" t="s">
        <v>23</v>
      </c>
      <c r="I42" s="2" t="s">
        <v>24</v>
      </c>
      <c r="J42" s="3">
        <v>45088</v>
      </c>
      <c r="K42" s="2" t="s">
        <v>68</v>
      </c>
      <c r="L42" s="2" t="s">
        <v>43</v>
      </c>
      <c r="M42" s="2">
        <v>40</v>
      </c>
      <c r="N42" s="2">
        <v>97</v>
      </c>
      <c r="O42" s="2">
        <v>50560</v>
      </c>
      <c r="P42" s="2" t="s">
        <v>63</v>
      </c>
      <c r="Q42" s="9">
        <f>Table2[[#This Row],[Room Booked]]*Table2[[#This Row],[Price]]</f>
        <v>2022400</v>
      </c>
      <c r="R42" s="4">
        <v>77517</v>
      </c>
    </row>
    <row r="43" spans="1:18" x14ac:dyDescent="0.3">
      <c r="A43" s="2">
        <v>2022</v>
      </c>
      <c r="B43" s="2" t="s">
        <v>36</v>
      </c>
      <c r="C43" s="2" t="s">
        <v>37</v>
      </c>
      <c r="D43" s="2" t="s">
        <v>38</v>
      </c>
      <c r="E43" s="2" t="s">
        <v>39</v>
      </c>
      <c r="F43" s="2" t="s">
        <v>73</v>
      </c>
      <c r="G43" s="2">
        <v>69</v>
      </c>
      <c r="H43" s="2" t="s">
        <v>23</v>
      </c>
      <c r="I43" s="2" t="s">
        <v>24</v>
      </c>
      <c r="J43" s="3">
        <v>44715</v>
      </c>
      <c r="K43" s="2" t="s">
        <v>65</v>
      </c>
      <c r="L43" s="2" t="s">
        <v>43</v>
      </c>
      <c r="M43" s="2">
        <v>37</v>
      </c>
      <c r="N43" s="2">
        <v>107</v>
      </c>
      <c r="O43" s="2">
        <v>4351</v>
      </c>
      <c r="P43" s="2" t="s">
        <v>27</v>
      </c>
      <c r="Q43" s="9">
        <f>Table2[[#This Row],[Room Booked]]*Table2[[#This Row],[Price]]</f>
        <v>160987</v>
      </c>
      <c r="R43" s="4">
        <v>118782.29999999999</v>
      </c>
    </row>
    <row r="44" spans="1:18" x14ac:dyDescent="0.3">
      <c r="A44" s="2">
        <v>2022</v>
      </c>
      <c r="B44" s="2" t="s">
        <v>55</v>
      </c>
      <c r="C44" s="2" t="s">
        <v>87</v>
      </c>
      <c r="D44" s="2" t="s">
        <v>71</v>
      </c>
      <c r="E44" s="2" t="s">
        <v>72</v>
      </c>
      <c r="F44" s="2" t="s">
        <v>74</v>
      </c>
      <c r="G44" s="2">
        <v>23</v>
      </c>
      <c r="H44" s="2" t="s">
        <v>33</v>
      </c>
      <c r="I44" s="2" t="s">
        <v>24</v>
      </c>
      <c r="J44" s="3">
        <v>44790</v>
      </c>
      <c r="K44" s="2" t="s">
        <v>49</v>
      </c>
      <c r="L44" s="2" t="s">
        <v>43</v>
      </c>
      <c r="M44" s="2">
        <v>10</v>
      </c>
      <c r="N44" s="2">
        <v>97</v>
      </c>
      <c r="O44" s="2">
        <v>118152</v>
      </c>
      <c r="P44" s="2" t="s">
        <v>63</v>
      </c>
      <c r="Q44" s="9">
        <f>Table2[[#This Row],[Room Booked]]*Table2[[#This Row],[Price]]</f>
        <v>1181520</v>
      </c>
      <c r="R44" s="4">
        <v>146213.1</v>
      </c>
    </row>
    <row r="45" spans="1:18" x14ac:dyDescent="0.3">
      <c r="A45" s="2">
        <v>2022</v>
      </c>
      <c r="B45" s="2" t="s">
        <v>55</v>
      </c>
      <c r="C45" s="2" t="s">
        <v>94</v>
      </c>
      <c r="D45" s="2" t="s">
        <v>60</v>
      </c>
      <c r="E45" s="2" t="s">
        <v>61</v>
      </c>
      <c r="F45" s="2" t="s">
        <v>75</v>
      </c>
      <c r="G45" s="2">
        <v>54</v>
      </c>
      <c r="H45" s="2" t="s">
        <v>23</v>
      </c>
      <c r="I45" s="2" t="s">
        <v>24</v>
      </c>
      <c r="J45" s="3">
        <v>44776</v>
      </c>
      <c r="K45" s="2" t="s">
        <v>68</v>
      </c>
      <c r="L45" s="2" t="s">
        <v>43</v>
      </c>
      <c r="M45" s="2">
        <v>28</v>
      </c>
      <c r="N45" s="2">
        <v>123</v>
      </c>
      <c r="O45" s="2">
        <v>52768</v>
      </c>
      <c r="P45" s="2" t="s">
        <v>63</v>
      </c>
      <c r="Q45" s="9">
        <f>Table2[[#This Row],[Room Booked]]*Table2[[#This Row],[Price]]</f>
        <v>1477504</v>
      </c>
      <c r="R45" s="4">
        <v>117463.2</v>
      </c>
    </row>
    <row r="46" spans="1:18" x14ac:dyDescent="0.3">
      <c r="A46" s="2">
        <v>2023</v>
      </c>
      <c r="B46" s="2" t="s">
        <v>76</v>
      </c>
      <c r="C46" s="2" t="s">
        <v>37</v>
      </c>
      <c r="D46" s="2" t="s">
        <v>20</v>
      </c>
      <c r="E46" s="2" t="s">
        <v>21</v>
      </c>
      <c r="F46" s="2" t="s">
        <v>77</v>
      </c>
      <c r="G46" s="2">
        <v>62</v>
      </c>
      <c r="H46" s="2" t="s">
        <v>23</v>
      </c>
      <c r="I46" s="2" t="s">
        <v>24</v>
      </c>
      <c r="J46" s="3">
        <v>45125</v>
      </c>
      <c r="K46" s="2" t="s">
        <v>42</v>
      </c>
      <c r="L46" s="2" t="s">
        <v>43</v>
      </c>
      <c r="M46" s="2">
        <v>24</v>
      </c>
      <c r="N46" s="2">
        <v>104</v>
      </c>
      <c r="O46" s="2">
        <v>26616</v>
      </c>
      <c r="P46" s="2" t="s">
        <v>27</v>
      </c>
      <c r="Q46" s="9">
        <f>Table2[[#This Row],[Room Booked]]*Table2[[#This Row],[Price]]</f>
        <v>638784</v>
      </c>
      <c r="R46" s="4">
        <v>58887.9</v>
      </c>
    </row>
    <row r="47" spans="1:18" x14ac:dyDescent="0.3">
      <c r="A47" s="2">
        <v>2023</v>
      </c>
      <c r="B47" s="2" t="s">
        <v>36</v>
      </c>
      <c r="C47" s="2" t="s">
        <v>94</v>
      </c>
      <c r="D47" s="2" t="s">
        <v>60</v>
      </c>
      <c r="E47" s="2" t="s">
        <v>61</v>
      </c>
      <c r="F47" s="2" t="s">
        <v>78</v>
      </c>
      <c r="G47" s="2">
        <v>68</v>
      </c>
      <c r="H47" s="2" t="s">
        <v>33</v>
      </c>
      <c r="I47" s="2" t="s">
        <v>24</v>
      </c>
      <c r="J47" s="3">
        <v>45099</v>
      </c>
      <c r="K47" s="2" t="s">
        <v>68</v>
      </c>
      <c r="L47" s="2" t="s">
        <v>26</v>
      </c>
      <c r="M47" s="2">
        <v>28</v>
      </c>
      <c r="N47" s="2">
        <v>99</v>
      </c>
      <c r="O47" s="2">
        <v>23616</v>
      </c>
      <c r="P47" s="2" t="s">
        <v>50</v>
      </c>
      <c r="Q47" s="9">
        <f>Table2[[#This Row],[Room Booked]]*Table2[[#This Row],[Price]]</f>
        <v>661248</v>
      </c>
      <c r="R47" s="4">
        <v>31350.3</v>
      </c>
    </row>
    <row r="48" spans="1:18" x14ac:dyDescent="0.3">
      <c r="A48" s="2">
        <v>2022</v>
      </c>
      <c r="B48" s="2" t="s">
        <v>36</v>
      </c>
      <c r="C48" s="2" t="s">
        <v>87</v>
      </c>
      <c r="D48" s="2" t="s">
        <v>71</v>
      </c>
      <c r="E48" s="2" t="s">
        <v>72</v>
      </c>
      <c r="F48" s="2" t="s">
        <v>79</v>
      </c>
      <c r="G48" s="2">
        <v>38</v>
      </c>
      <c r="H48" s="2" t="s">
        <v>33</v>
      </c>
      <c r="I48" s="2" t="s">
        <v>24</v>
      </c>
      <c r="J48" s="3">
        <v>44739</v>
      </c>
      <c r="K48" s="2" t="s">
        <v>46</v>
      </c>
      <c r="L48" s="2" t="s">
        <v>43</v>
      </c>
      <c r="M48" s="2">
        <v>30</v>
      </c>
      <c r="N48" s="2">
        <v>84</v>
      </c>
      <c r="O48" s="2">
        <v>7804</v>
      </c>
      <c r="P48" s="2" t="s">
        <v>27</v>
      </c>
      <c r="Q48" s="9">
        <f>Table2[[#This Row],[Room Booked]]*Table2[[#This Row],[Price]]</f>
        <v>234120</v>
      </c>
      <c r="R48" s="4">
        <v>173248.8</v>
      </c>
    </row>
    <row r="49" spans="1:18" x14ac:dyDescent="0.3">
      <c r="A49" s="2">
        <v>2022</v>
      </c>
      <c r="B49" s="2" t="s">
        <v>53</v>
      </c>
      <c r="C49" s="2" t="s">
        <v>37</v>
      </c>
      <c r="D49" s="2" t="s">
        <v>20</v>
      </c>
      <c r="E49" s="2" t="s">
        <v>21</v>
      </c>
      <c r="F49" s="2" t="s">
        <v>81</v>
      </c>
      <c r="G49" s="2">
        <v>40</v>
      </c>
      <c r="H49" s="2" t="s">
        <v>33</v>
      </c>
      <c r="I49" s="2" t="s">
        <v>24</v>
      </c>
      <c r="J49" s="3">
        <v>44629</v>
      </c>
      <c r="K49" s="2" t="s">
        <v>25</v>
      </c>
      <c r="L49" s="2" t="s">
        <v>26</v>
      </c>
      <c r="M49" s="2">
        <v>10</v>
      </c>
      <c r="N49" s="2">
        <v>118</v>
      </c>
      <c r="O49" s="2">
        <v>9387</v>
      </c>
      <c r="P49" s="2" t="s">
        <v>63</v>
      </c>
      <c r="Q49" s="9">
        <f>Table2[[#This Row],[Room Booked]]*Table2[[#This Row],[Price]]</f>
        <v>93870</v>
      </c>
      <c r="R49" s="4">
        <v>67586.399999999994</v>
      </c>
    </row>
    <row r="50" spans="1:18" x14ac:dyDescent="0.3">
      <c r="A50" s="2">
        <v>2022</v>
      </c>
      <c r="B50" s="2" t="s">
        <v>51</v>
      </c>
      <c r="C50" s="2" t="s">
        <v>87</v>
      </c>
      <c r="D50" s="2" t="s">
        <v>71</v>
      </c>
      <c r="E50" s="2" t="s">
        <v>72</v>
      </c>
      <c r="F50" s="2" t="s">
        <v>82</v>
      </c>
      <c r="G50" s="2">
        <v>20</v>
      </c>
      <c r="H50" s="2" t="s">
        <v>23</v>
      </c>
      <c r="I50" s="2" t="s">
        <v>24</v>
      </c>
      <c r="J50" s="3">
        <v>44810</v>
      </c>
      <c r="K50" s="2" t="s">
        <v>46</v>
      </c>
      <c r="L50" s="2" t="s">
        <v>34</v>
      </c>
      <c r="M50" s="2">
        <v>19</v>
      </c>
      <c r="N50" s="2">
        <v>83</v>
      </c>
      <c r="O50" s="2">
        <v>6073</v>
      </c>
      <c r="P50" s="2" t="s">
        <v>27</v>
      </c>
      <c r="Q50" s="9">
        <f>Table2[[#This Row],[Room Booked]]*Table2[[#This Row],[Price]]</f>
        <v>115387</v>
      </c>
      <c r="R50" s="4">
        <v>83807.399999999994</v>
      </c>
    </row>
    <row r="51" spans="1:18" x14ac:dyDescent="0.3">
      <c r="A51" s="2">
        <v>2023</v>
      </c>
      <c r="B51" s="2" t="s">
        <v>44</v>
      </c>
      <c r="C51" s="2" t="s">
        <v>87</v>
      </c>
      <c r="D51" s="2" t="s">
        <v>71</v>
      </c>
      <c r="E51" s="2" t="s">
        <v>72</v>
      </c>
      <c r="F51" s="2" t="s">
        <v>83</v>
      </c>
      <c r="G51" s="2">
        <v>72</v>
      </c>
      <c r="H51" s="2" t="s">
        <v>23</v>
      </c>
      <c r="I51" s="2" t="s">
        <v>41</v>
      </c>
      <c r="J51" s="3">
        <v>45206</v>
      </c>
      <c r="K51" s="2" t="s">
        <v>65</v>
      </c>
      <c r="L51" s="2" t="s">
        <v>26</v>
      </c>
      <c r="M51" s="2">
        <v>32</v>
      </c>
      <c r="N51" s="2">
        <v>83</v>
      </c>
      <c r="O51" s="2">
        <v>1924</v>
      </c>
      <c r="P51" s="2" t="s">
        <v>35</v>
      </c>
      <c r="Q51" s="9">
        <f>Table2[[#This Row],[Room Booked]]*Table2[[#This Row],[Price]]</f>
        <v>61568</v>
      </c>
      <c r="R51" s="4">
        <v>45021.599999999999</v>
      </c>
    </row>
    <row r="52" spans="1:18" x14ac:dyDescent="0.3">
      <c r="A52" s="2">
        <v>2023</v>
      </c>
      <c r="B52" s="2" t="s">
        <v>55</v>
      </c>
      <c r="C52" s="2" t="s">
        <v>37</v>
      </c>
      <c r="D52" s="2" t="s">
        <v>38</v>
      </c>
      <c r="E52" s="2" t="s">
        <v>39</v>
      </c>
      <c r="F52" s="2" t="s">
        <v>84</v>
      </c>
      <c r="G52" s="2">
        <v>55</v>
      </c>
      <c r="H52" s="2" t="s">
        <v>33</v>
      </c>
      <c r="I52" s="2" t="s">
        <v>41</v>
      </c>
      <c r="J52" s="3">
        <v>45162</v>
      </c>
      <c r="K52" s="2" t="s">
        <v>25</v>
      </c>
      <c r="L52" s="2" t="s">
        <v>34</v>
      </c>
      <c r="M52" s="2">
        <v>34</v>
      </c>
      <c r="N52" s="2">
        <v>114</v>
      </c>
      <c r="O52" s="2">
        <v>2871</v>
      </c>
      <c r="P52" s="2" t="s">
        <v>63</v>
      </c>
      <c r="Q52" s="9">
        <f>Table2[[#This Row],[Room Booked]]*Table2[[#This Row],[Price]]</f>
        <v>97614</v>
      </c>
      <c r="R52" s="4">
        <v>71487.899999999994</v>
      </c>
    </row>
    <row r="53" spans="1:18" x14ac:dyDescent="0.3">
      <c r="A53" s="2">
        <v>2023</v>
      </c>
      <c r="B53" s="2" t="s">
        <v>95</v>
      </c>
      <c r="C53" s="2" t="s">
        <v>87</v>
      </c>
      <c r="D53" s="2" t="s">
        <v>71</v>
      </c>
      <c r="E53" s="2" t="s">
        <v>72</v>
      </c>
      <c r="F53" s="2" t="s">
        <v>85</v>
      </c>
      <c r="G53" s="2">
        <v>60</v>
      </c>
      <c r="H53" s="2" t="s">
        <v>23</v>
      </c>
      <c r="I53" s="2" t="s">
        <v>41</v>
      </c>
      <c r="J53" s="3">
        <v>44963</v>
      </c>
      <c r="K53" s="2" t="s">
        <v>49</v>
      </c>
      <c r="L53" s="2" t="s">
        <v>26</v>
      </c>
      <c r="M53" s="2">
        <v>26</v>
      </c>
      <c r="N53" s="2">
        <v>112</v>
      </c>
      <c r="O53" s="2">
        <v>119736</v>
      </c>
      <c r="P53" s="2" t="s">
        <v>27</v>
      </c>
      <c r="Q53" s="9">
        <f>Table2[[#This Row],[Room Booked]]*Table2[[#This Row],[Price]]</f>
        <v>3113136</v>
      </c>
      <c r="R53" s="4">
        <v>94292.099999999991</v>
      </c>
    </row>
    <row r="54" spans="1:18" x14ac:dyDescent="0.3">
      <c r="A54" s="2">
        <v>2022</v>
      </c>
      <c r="B54" s="2" t="s">
        <v>36</v>
      </c>
      <c r="C54" s="2" t="s">
        <v>94</v>
      </c>
      <c r="D54" s="2" t="s">
        <v>60</v>
      </c>
      <c r="E54" s="2" t="s">
        <v>61</v>
      </c>
      <c r="F54" s="2" t="s">
        <v>86</v>
      </c>
      <c r="G54" s="2">
        <v>52</v>
      </c>
      <c r="H54" s="2" t="s">
        <v>33</v>
      </c>
      <c r="I54" s="2" t="s">
        <v>41</v>
      </c>
      <c r="J54" s="3">
        <v>44738</v>
      </c>
      <c r="K54" s="2" t="s">
        <v>46</v>
      </c>
      <c r="L54" s="2" t="s">
        <v>26</v>
      </c>
      <c r="M54" s="2">
        <v>15</v>
      </c>
      <c r="N54" s="2">
        <v>106</v>
      </c>
      <c r="O54" s="2">
        <v>8278</v>
      </c>
      <c r="P54" s="2" t="s">
        <v>27</v>
      </c>
      <c r="Q54" s="9">
        <f>Table2[[#This Row],[Room Booked]]*Table2[[#This Row],[Price]]</f>
        <v>124170</v>
      </c>
      <c r="R54" s="4">
        <v>89402.4</v>
      </c>
    </row>
    <row r="55" spans="1:18" x14ac:dyDescent="0.3">
      <c r="A55" s="2">
        <v>2022</v>
      </c>
      <c r="B55" s="2" t="s">
        <v>69</v>
      </c>
      <c r="C55" s="2" t="s">
        <v>29</v>
      </c>
      <c r="D55" s="2" t="s">
        <v>30</v>
      </c>
      <c r="E55" s="2" t="s">
        <v>31</v>
      </c>
      <c r="F55" s="2" t="s">
        <v>88</v>
      </c>
      <c r="G55" s="2">
        <v>20</v>
      </c>
      <c r="H55" s="2" t="s">
        <v>33</v>
      </c>
      <c r="I55" s="2" t="s">
        <v>24</v>
      </c>
      <c r="J55" s="3">
        <v>44866</v>
      </c>
      <c r="K55" s="2" t="s">
        <v>46</v>
      </c>
      <c r="L55" s="2" t="s">
        <v>34</v>
      </c>
      <c r="M55" s="2">
        <v>19</v>
      </c>
      <c r="N55" s="2">
        <v>125</v>
      </c>
      <c r="O55" s="2">
        <v>7364</v>
      </c>
      <c r="P55" s="2" t="s">
        <v>27</v>
      </c>
      <c r="Q55" s="9">
        <f>Table2[[#This Row],[Room Booked]]*Table2[[#This Row],[Price]]</f>
        <v>139916</v>
      </c>
      <c r="R55" s="4">
        <v>46393.2</v>
      </c>
    </row>
    <row r="56" spans="1:18" x14ac:dyDescent="0.3">
      <c r="A56" s="2">
        <v>2022</v>
      </c>
      <c r="B56" s="2" t="s">
        <v>76</v>
      </c>
      <c r="C56" s="2" t="s">
        <v>87</v>
      </c>
      <c r="D56" s="2" t="s">
        <v>71</v>
      </c>
      <c r="E56" s="2" t="s">
        <v>72</v>
      </c>
      <c r="F56" s="2" t="s">
        <v>89</v>
      </c>
      <c r="G56" s="2">
        <v>27</v>
      </c>
      <c r="H56" s="2" t="s">
        <v>33</v>
      </c>
      <c r="I56" s="2" t="s">
        <v>24</v>
      </c>
      <c r="J56" s="3">
        <v>44746</v>
      </c>
      <c r="K56" s="2" t="s">
        <v>49</v>
      </c>
      <c r="L56" s="2" t="s">
        <v>26</v>
      </c>
      <c r="M56" s="2">
        <v>6</v>
      </c>
      <c r="N56" s="2">
        <v>94</v>
      </c>
      <c r="O56" s="2">
        <v>122880</v>
      </c>
      <c r="P56" s="2" t="s">
        <v>35</v>
      </c>
      <c r="Q56" s="9">
        <f>Table2[[#This Row],[Room Booked]]*Table2[[#This Row],[Price]]</f>
        <v>737280</v>
      </c>
      <c r="R56" s="4">
        <v>19968</v>
      </c>
    </row>
    <row r="57" spans="1:18" x14ac:dyDescent="0.3">
      <c r="A57" s="2">
        <v>2022</v>
      </c>
      <c r="B57" s="2" t="s">
        <v>47</v>
      </c>
      <c r="C57" s="2" t="s">
        <v>19</v>
      </c>
      <c r="D57" s="2" t="s">
        <v>20</v>
      </c>
      <c r="E57" s="2" t="s">
        <v>21</v>
      </c>
      <c r="F57" s="2" t="s">
        <v>90</v>
      </c>
      <c r="G57" s="2">
        <v>35</v>
      </c>
      <c r="H57" s="2" t="s">
        <v>33</v>
      </c>
      <c r="I57" s="2" t="s">
        <v>24</v>
      </c>
      <c r="J57" s="3">
        <v>44907</v>
      </c>
      <c r="K57" s="2" t="s">
        <v>49</v>
      </c>
      <c r="L57" s="2" t="s">
        <v>34</v>
      </c>
      <c r="M57" s="2">
        <v>16</v>
      </c>
      <c r="N57" s="2">
        <v>119</v>
      </c>
      <c r="O57" s="2">
        <v>116352</v>
      </c>
      <c r="P57" s="2" t="s">
        <v>50</v>
      </c>
      <c r="Q57" s="9">
        <f>Table2[[#This Row],[Room Booked]]*Table2[[#This Row],[Price]]</f>
        <v>1861632</v>
      </c>
      <c r="R57" s="4">
        <v>91627.199999999997</v>
      </c>
    </row>
    <row r="58" spans="1:18" x14ac:dyDescent="0.3">
      <c r="A58" s="2">
        <v>2023</v>
      </c>
      <c r="B58" s="2" t="s">
        <v>18</v>
      </c>
      <c r="C58" s="2" t="s">
        <v>87</v>
      </c>
      <c r="D58" s="2" t="s">
        <v>71</v>
      </c>
      <c r="E58" s="2" t="s">
        <v>72</v>
      </c>
      <c r="F58" s="2" t="s">
        <v>22</v>
      </c>
      <c r="G58" s="2">
        <v>44</v>
      </c>
      <c r="H58" s="2" t="s">
        <v>33</v>
      </c>
      <c r="I58" s="2" t="s">
        <v>41</v>
      </c>
      <c r="J58" s="3">
        <v>44948</v>
      </c>
      <c r="K58" s="2" t="s">
        <v>68</v>
      </c>
      <c r="L58" s="2" t="s">
        <v>43</v>
      </c>
      <c r="M58" s="2">
        <v>32</v>
      </c>
      <c r="N58" s="2">
        <v>80</v>
      </c>
      <c r="O58" s="2">
        <v>72768</v>
      </c>
      <c r="P58" s="2" t="s">
        <v>50</v>
      </c>
      <c r="Q58" s="9">
        <f>Table2[[#This Row],[Room Booked]]*Table2[[#This Row],[Price]]</f>
        <v>2328576</v>
      </c>
      <c r="R58" s="4">
        <v>166089.60000000001</v>
      </c>
    </row>
    <row r="59" spans="1:18" x14ac:dyDescent="0.3">
      <c r="A59" s="2">
        <v>2022</v>
      </c>
      <c r="B59" s="2" t="s">
        <v>47</v>
      </c>
      <c r="C59" s="2" t="s">
        <v>87</v>
      </c>
      <c r="D59" s="2" t="s">
        <v>20</v>
      </c>
      <c r="E59" s="2" t="s">
        <v>21</v>
      </c>
      <c r="F59" s="2" t="s">
        <v>32</v>
      </c>
      <c r="G59" s="2">
        <v>63</v>
      </c>
      <c r="H59" s="2" t="s">
        <v>33</v>
      </c>
      <c r="I59" s="2" t="s">
        <v>41</v>
      </c>
      <c r="J59" s="3">
        <v>44926</v>
      </c>
      <c r="K59" s="2" t="s">
        <v>49</v>
      </c>
      <c r="L59" s="2" t="s">
        <v>43</v>
      </c>
      <c r="M59" s="2">
        <v>38</v>
      </c>
      <c r="N59" s="2">
        <v>115</v>
      </c>
      <c r="O59" s="2">
        <v>132480</v>
      </c>
      <c r="P59" s="2" t="s">
        <v>27</v>
      </c>
      <c r="Q59" s="9">
        <f>Table2[[#This Row],[Room Booked]]*Table2[[#This Row],[Price]]</f>
        <v>5034240</v>
      </c>
      <c r="R59" s="4">
        <v>157320</v>
      </c>
    </row>
    <row r="60" spans="1:18" x14ac:dyDescent="0.3">
      <c r="A60" s="2">
        <v>2022</v>
      </c>
      <c r="B60" s="2" t="s">
        <v>57</v>
      </c>
      <c r="C60" s="2" t="s">
        <v>70</v>
      </c>
      <c r="D60" s="2" t="s">
        <v>20</v>
      </c>
      <c r="E60" s="2" t="s">
        <v>21</v>
      </c>
      <c r="F60" s="2" t="s">
        <v>40</v>
      </c>
      <c r="G60" s="2">
        <v>37</v>
      </c>
      <c r="H60" s="2" t="s">
        <v>33</v>
      </c>
      <c r="I60" s="2" t="s">
        <v>24</v>
      </c>
      <c r="J60" s="3">
        <v>44701</v>
      </c>
      <c r="K60" s="2" t="s">
        <v>80</v>
      </c>
      <c r="L60" s="2" t="s">
        <v>34</v>
      </c>
      <c r="M60" s="2">
        <v>38</v>
      </c>
      <c r="N60" s="2">
        <v>115</v>
      </c>
      <c r="O60" s="2">
        <v>241984</v>
      </c>
      <c r="P60" s="2" t="s">
        <v>27</v>
      </c>
      <c r="Q60" s="9">
        <f>Table2[[#This Row],[Room Booked]]*Table2[[#This Row],[Price]]</f>
        <v>9195392</v>
      </c>
      <c r="R60" s="4">
        <v>215517</v>
      </c>
    </row>
    <row r="61" spans="1:18" x14ac:dyDescent="0.3">
      <c r="A61" s="2">
        <v>2023</v>
      </c>
      <c r="B61" s="2" t="s">
        <v>57</v>
      </c>
      <c r="C61" s="2" t="s">
        <v>37</v>
      </c>
      <c r="D61" s="2" t="s">
        <v>38</v>
      </c>
      <c r="E61" s="2" t="s">
        <v>39</v>
      </c>
      <c r="F61" s="2" t="s">
        <v>45</v>
      </c>
      <c r="G61" s="2">
        <v>23</v>
      </c>
      <c r="H61" s="2" t="s">
        <v>33</v>
      </c>
      <c r="I61" s="2" t="s">
        <v>41</v>
      </c>
      <c r="J61" s="3">
        <v>45058</v>
      </c>
      <c r="K61" s="2" t="s">
        <v>42</v>
      </c>
      <c r="L61" s="2" t="s">
        <v>43</v>
      </c>
      <c r="M61" s="2">
        <v>71</v>
      </c>
      <c r="N61" s="2">
        <v>77</v>
      </c>
      <c r="O61" s="2">
        <v>29216</v>
      </c>
      <c r="P61" s="2" t="s">
        <v>27</v>
      </c>
      <c r="Q61" s="9">
        <f>Table2[[#This Row],[Room Booked]]*Table2[[#This Row],[Price]]</f>
        <v>2074336</v>
      </c>
      <c r="R61" s="4">
        <v>4382.3999999999996</v>
      </c>
    </row>
    <row r="62" spans="1:18" x14ac:dyDescent="0.3">
      <c r="A62" s="2">
        <v>2022</v>
      </c>
      <c r="B62" s="2" t="s">
        <v>51</v>
      </c>
      <c r="C62" s="2" t="s">
        <v>59</v>
      </c>
      <c r="D62" s="2" t="s">
        <v>60</v>
      </c>
      <c r="E62" s="2" t="s">
        <v>61</v>
      </c>
      <c r="F62" s="2" t="s">
        <v>48</v>
      </c>
      <c r="G62" s="2">
        <v>27</v>
      </c>
      <c r="H62" s="2" t="s">
        <v>33</v>
      </c>
      <c r="I62" s="2" t="s">
        <v>41</v>
      </c>
      <c r="J62" s="3">
        <v>44824</v>
      </c>
      <c r="K62" s="2" t="s">
        <v>68</v>
      </c>
      <c r="L62" s="2" t="s">
        <v>43</v>
      </c>
      <c r="M62" s="2">
        <v>13</v>
      </c>
      <c r="N62" s="2">
        <v>107</v>
      </c>
      <c r="O62" s="2">
        <v>119616</v>
      </c>
      <c r="P62" s="2" t="s">
        <v>50</v>
      </c>
      <c r="Q62" s="9">
        <f>Table2[[#This Row],[Room Booked]]*Table2[[#This Row],[Price]]</f>
        <v>1555008</v>
      </c>
      <c r="R62" s="4">
        <v>11587.8</v>
      </c>
    </row>
    <row r="63" spans="1:18" x14ac:dyDescent="0.3">
      <c r="A63" s="2">
        <v>2022</v>
      </c>
      <c r="B63" s="2" t="s">
        <v>36</v>
      </c>
      <c r="C63" s="2" t="s">
        <v>37</v>
      </c>
      <c r="D63" s="2" t="s">
        <v>38</v>
      </c>
      <c r="E63" s="2" t="s">
        <v>39</v>
      </c>
      <c r="F63" s="2" t="s">
        <v>52</v>
      </c>
      <c r="G63" s="2">
        <v>69</v>
      </c>
      <c r="H63" s="2" t="s">
        <v>33</v>
      </c>
      <c r="I63" s="2" t="s">
        <v>41</v>
      </c>
      <c r="J63" s="3">
        <v>44718</v>
      </c>
      <c r="K63" s="2" t="s">
        <v>80</v>
      </c>
      <c r="L63" s="2" t="s">
        <v>34</v>
      </c>
      <c r="M63" s="2">
        <v>28</v>
      </c>
      <c r="N63" s="2">
        <v>79</v>
      </c>
      <c r="O63" s="2">
        <v>31040</v>
      </c>
      <c r="P63" s="2" t="s">
        <v>27</v>
      </c>
      <c r="Q63" s="9">
        <f>Table2[[#This Row],[Room Booked]]*Table2[[#This Row],[Price]]</f>
        <v>869120</v>
      </c>
      <c r="R63" s="4">
        <v>6693</v>
      </c>
    </row>
    <row r="64" spans="1:18" x14ac:dyDescent="0.3">
      <c r="A64" s="2">
        <v>2022</v>
      </c>
      <c r="B64" s="2" t="s">
        <v>28</v>
      </c>
      <c r="C64" s="2" t="s">
        <v>87</v>
      </c>
      <c r="D64" s="2" t="s">
        <v>71</v>
      </c>
      <c r="E64" s="2" t="s">
        <v>72</v>
      </c>
      <c r="F64" s="2" t="s">
        <v>54</v>
      </c>
      <c r="G64" s="2">
        <v>29</v>
      </c>
      <c r="H64" s="2" t="s">
        <v>33</v>
      </c>
      <c r="I64" s="2" t="s">
        <v>41</v>
      </c>
      <c r="J64" s="3">
        <v>44674</v>
      </c>
      <c r="K64" s="2" t="s">
        <v>42</v>
      </c>
      <c r="L64" s="2" t="s">
        <v>43</v>
      </c>
      <c r="M64" s="2">
        <v>24</v>
      </c>
      <c r="N64" s="2">
        <v>116</v>
      </c>
      <c r="O64" s="2">
        <v>29832</v>
      </c>
      <c r="P64" s="2" t="s">
        <v>27</v>
      </c>
      <c r="Q64" s="9">
        <f>Table2[[#This Row],[Room Booked]]*Table2[[#This Row],[Price]]</f>
        <v>715968</v>
      </c>
      <c r="R64" s="4">
        <v>64884.6</v>
      </c>
    </row>
    <row r="65" spans="1:18" x14ac:dyDescent="0.3">
      <c r="A65" s="2">
        <v>2023</v>
      </c>
      <c r="B65" s="2" t="s">
        <v>55</v>
      </c>
      <c r="C65" s="2" t="s">
        <v>37</v>
      </c>
      <c r="D65" s="2" t="s">
        <v>38</v>
      </c>
      <c r="E65" s="2" t="s">
        <v>39</v>
      </c>
      <c r="F65" s="2" t="s">
        <v>56</v>
      </c>
      <c r="G65" s="2">
        <v>43</v>
      </c>
      <c r="H65" s="2" t="s">
        <v>23</v>
      </c>
      <c r="I65" s="2" t="s">
        <v>24</v>
      </c>
      <c r="J65" s="3">
        <v>45145</v>
      </c>
      <c r="K65" s="2" t="s">
        <v>65</v>
      </c>
      <c r="L65" s="2" t="s">
        <v>43</v>
      </c>
      <c r="M65" s="2">
        <v>27</v>
      </c>
      <c r="N65" s="2">
        <v>93</v>
      </c>
      <c r="O65" s="2">
        <v>7325</v>
      </c>
      <c r="P65" s="2" t="s">
        <v>50</v>
      </c>
      <c r="Q65" s="9">
        <f>Table2[[#This Row],[Room Booked]]*Table2[[#This Row],[Price]]</f>
        <v>197775</v>
      </c>
      <c r="R65" s="4">
        <v>145035</v>
      </c>
    </row>
    <row r="66" spans="1:18" x14ac:dyDescent="0.3">
      <c r="A66" s="2">
        <v>2022</v>
      </c>
      <c r="B66" s="2" t="s">
        <v>28</v>
      </c>
      <c r="C66" s="2" t="s">
        <v>87</v>
      </c>
      <c r="D66" s="2" t="s">
        <v>20</v>
      </c>
      <c r="E66" s="2" t="s">
        <v>21</v>
      </c>
      <c r="F66" s="2" t="s">
        <v>58</v>
      </c>
      <c r="G66" s="2">
        <v>40</v>
      </c>
      <c r="H66" s="2" t="s">
        <v>33</v>
      </c>
      <c r="I66" s="2" t="s">
        <v>24</v>
      </c>
      <c r="J66" s="3">
        <v>44667</v>
      </c>
      <c r="K66" s="2" t="s">
        <v>49</v>
      </c>
      <c r="L66" s="2" t="s">
        <v>26</v>
      </c>
      <c r="M66" s="2">
        <v>29</v>
      </c>
      <c r="N66" s="2">
        <v>97</v>
      </c>
      <c r="O66" s="2">
        <v>116568</v>
      </c>
      <c r="P66" s="2" t="s">
        <v>27</v>
      </c>
      <c r="Q66" s="9">
        <f>Table2[[#This Row],[Room Booked]]*Table2[[#This Row],[Price]]</f>
        <v>3380472</v>
      </c>
      <c r="R66" s="4">
        <v>104911.2</v>
      </c>
    </row>
    <row r="67" spans="1:18" x14ac:dyDescent="0.3">
      <c r="A67" s="2">
        <v>2023</v>
      </c>
      <c r="B67" s="2" t="s">
        <v>55</v>
      </c>
      <c r="C67" s="2" t="s">
        <v>91</v>
      </c>
      <c r="D67" s="2" t="s">
        <v>20</v>
      </c>
      <c r="E67" s="2" t="s">
        <v>21</v>
      </c>
      <c r="F67" s="2" t="s">
        <v>62</v>
      </c>
      <c r="G67" s="2">
        <v>33</v>
      </c>
      <c r="H67" s="2" t="s">
        <v>33</v>
      </c>
      <c r="I67" s="2" t="s">
        <v>41</v>
      </c>
      <c r="J67" s="3">
        <v>45150</v>
      </c>
      <c r="K67" s="2" t="s">
        <v>49</v>
      </c>
      <c r="L67" s="2" t="s">
        <v>26</v>
      </c>
      <c r="M67" s="2">
        <v>22</v>
      </c>
      <c r="N67" s="2">
        <v>80</v>
      </c>
      <c r="O67" s="2">
        <v>53736</v>
      </c>
      <c r="P67" s="2" t="s">
        <v>50</v>
      </c>
      <c r="Q67" s="9">
        <f>Table2[[#This Row],[Room Booked]]*Table2[[#This Row],[Price]]</f>
        <v>1182192</v>
      </c>
      <c r="R67" s="4">
        <v>36943.5</v>
      </c>
    </row>
    <row r="68" spans="1:18" x14ac:dyDescent="0.3">
      <c r="A68" s="2">
        <v>2023</v>
      </c>
      <c r="B68" s="2" t="s">
        <v>57</v>
      </c>
      <c r="C68" s="2" t="s">
        <v>19</v>
      </c>
      <c r="D68" s="2" t="s">
        <v>20</v>
      </c>
      <c r="E68" s="2" t="s">
        <v>21</v>
      </c>
      <c r="F68" s="2" t="s">
        <v>64</v>
      </c>
      <c r="G68" s="2">
        <v>31</v>
      </c>
      <c r="H68" s="2" t="s">
        <v>33</v>
      </c>
      <c r="I68" s="2" t="s">
        <v>24</v>
      </c>
      <c r="J68" s="3">
        <v>45070</v>
      </c>
      <c r="K68" s="2" t="s">
        <v>68</v>
      </c>
      <c r="L68" s="2" t="s">
        <v>43</v>
      </c>
      <c r="M68" s="2">
        <v>10</v>
      </c>
      <c r="N68" s="2">
        <v>117</v>
      </c>
      <c r="O68" s="2">
        <v>219168</v>
      </c>
      <c r="P68" s="2" t="s">
        <v>63</v>
      </c>
      <c r="Q68" s="9">
        <f>Table2[[#This Row],[Room Booked]]*Table2[[#This Row],[Price]]</f>
        <v>2191680</v>
      </c>
      <c r="R68" s="4">
        <v>17122.5</v>
      </c>
    </row>
    <row r="69" spans="1:18" x14ac:dyDescent="0.3">
      <c r="A69" s="2">
        <v>2022</v>
      </c>
      <c r="B69" s="2" t="s">
        <v>57</v>
      </c>
      <c r="C69" s="2" t="s">
        <v>87</v>
      </c>
      <c r="D69" s="2" t="s">
        <v>71</v>
      </c>
      <c r="E69" s="2" t="s">
        <v>72</v>
      </c>
      <c r="F69" s="2" t="s">
        <v>66</v>
      </c>
      <c r="G69" s="2">
        <v>61</v>
      </c>
      <c r="H69" s="2" t="s">
        <v>33</v>
      </c>
      <c r="I69" s="2" t="s">
        <v>41</v>
      </c>
      <c r="J69" s="3">
        <v>44712</v>
      </c>
      <c r="K69" s="2" t="s">
        <v>65</v>
      </c>
      <c r="L69" s="2" t="s">
        <v>34</v>
      </c>
      <c r="M69" s="2">
        <v>28</v>
      </c>
      <c r="N69" s="2">
        <v>86</v>
      </c>
      <c r="O69" s="2">
        <v>2690</v>
      </c>
      <c r="P69" s="2" t="s">
        <v>63</v>
      </c>
      <c r="Q69" s="9">
        <f>Table2[[#This Row],[Room Booked]]*Table2[[#This Row],[Price]]</f>
        <v>75320</v>
      </c>
      <c r="R69" s="4">
        <v>54876</v>
      </c>
    </row>
    <row r="70" spans="1:18" x14ac:dyDescent="0.3">
      <c r="A70" s="2">
        <v>2022</v>
      </c>
      <c r="B70" s="2" t="s">
        <v>69</v>
      </c>
      <c r="C70" s="2" t="s">
        <v>87</v>
      </c>
      <c r="D70" s="2" t="s">
        <v>71</v>
      </c>
      <c r="E70" s="2" t="s">
        <v>72</v>
      </c>
      <c r="F70" s="2" t="s">
        <v>67</v>
      </c>
      <c r="G70" s="2">
        <v>32</v>
      </c>
      <c r="H70" s="2" t="s">
        <v>33</v>
      </c>
      <c r="I70" s="2" t="s">
        <v>24</v>
      </c>
      <c r="J70" s="3">
        <v>44869</v>
      </c>
      <c r="K70" s="2" t="s">
        <v>65</v>
      </c>
      <c r="L70" s="2" t="s">
        <v>34</v>
      </c>
      <c r="M70" s="2">
        <v>1</v>
      </c>
      <c r="N70" s="2">
        <v>96</v>
      </c>
      <c r="O70" s="2">
        <v>2458</v>
      </c>
      <c r="P70" s="2" t="s">
        <v>27</v>
      </c>
      <c r="Q70" s="9">
        <f>Table2[[#This Row],[Room Booked]]*Table2[[#This Row],[Price]]</f>
        <v>2458</v>
      </c>
      <c r="R70" s="4">
        <v>1474.8</v>
      </c>
    </row>
    <row r="71" spans="1:18" x14ac:dyDescent="0.3">
      <c r="A71" s="2">
        <v>2023</v>
      </c>
      <c r="B71" s="2" t="s">
        <v>53</v>
      </c>
      <c r="C71" s="2" t="s">
        <v>94</v>
      </c>
      <c r="D71" s="2" t="s">
        <v>20</v>
      </c>
      <c r="E71" s="2" t="s">
        <v>21</v>
      </c>
      <c r="F71" s="2" t="s">
        <v>73</v>
      </c>
      <c r="G71" s="2">
        <v>72</v>
      </c>
      <c r="H71" s="2" t="s">
        <v>23</v>
      </c>
      <c r="I71" s="2" t="s">
        <v>24</v>
      </c>
      <c r="J71" s="3">
        <v>44999</v>
      </c>
      <c r="K71" s="2" t="s">
        <v>46</v>
      </c>
      <c r="L71" s="2" t="s">
        <v>34</v>
      </c>
      <c r="M71" s="2">
        <v>4</v>
      </c>
      <c r="N71" s="2">
        <v>89</v>
      </c>
      <c r="O71" s="2">
        <v>2398</v>
      </c>
      <c r="P71" s="2" t="s">
        <v>35</v>
      </c>
      <c r="Q71" s="9">
        <f>Table2[[#This Row],[Room Booked]]*Table2[[#This Row],[Price]]</f>
        <v>9592</v>
      </c>
      <c r="R71" s="4">
        <v>5755.2</v>
      </c>
    </row>
    <row r="72" spans="1:18" x14ac:dyDescent="0.3">
      <c r="A72" s="2">
        <v>2022</v>
      </c>
      <c r="B72" s="2" t="s">
        <v>36</v>
      </c>
      <c r="C72" s="2" t="s">
        <v>37</v>
      </c>
      <c r="D72" s="2" t="s">
        <v>38</v>
      </c>
      <c r="E72" s="2" t="s">
        <v>96</v>
      </c>
      <c r="F72" s="2" t="s">
        <v>74</v>
      </c>
      <c r="G72" s="2">
        <v>21</v>
      </c>
      <c r="H72" s="2" t="s">
        <v>23</v>
      </c>
      <c r="I72" s="2" t="s">
        <v>41</v>
      </c>
      <c r="J72" s="3">
        <v>44721</v>
      </c>
      <c r="K72" s="2" t="s">
        <v>42</v>
      </c>
      <c r="L72" s="2" t="s">
        <v>43</v>
      </c>
      <c r="M72" s="2">
        <v>20</v>
      </c>
      <c r="N72" s="2">
        <v>123</v>
      </c>
      <c r="O72" s="2">
        <v>26016</v>
      </c>
      <c r="P72" s="2" t="s">
        <v>27</v>
      </c>
      <c r="Q72" s="9">
        <f>Table2[[#This Row],[Room Booked]]*Table2[[#This Row],[Price]]</f>
        <v>520320</v>
      </c>
      <c r="R72" s="4">
        <v>26341.200000000001</v>
      </c>
    </row>
    <row r="73" spans="1:18" x14ac:dyDescent="0.3">
      <c r="A73" s="2">
        <v>2023</v>
      </c>
      <c r="B73" s="2" t="s">
        <v>51</v>
      </c>
      <c r="C73" s="2" t="s">
        <v>37</v>
      </c>
      <c r="D73" s="2" t="s">
        <v>38</v>
      </c>
      <c r="E73" s="2" t="s">
        <v>96</v>
      </c>
      <c r="F73" s="2" t="s">
        <v>75</v>
      </c>
      <c r="G73" s="2">
        <v>22</v>
      </c>
      <c r="H73" s="2" t="s">
        <v>33</v>
      </c>
      <c r="I73" s="2" t="s">
        <v>24</v>
      </c>
      <c r="J73" s="3">
        <v>45184</v>
      </c>
      <c r="K73" s="2" t="s">
        <v>25</v>
      </c>
      <c r="L73" s="2" t="s">
        <v>26</v>
      </c>
      <c r="M73" s="2">
        <v>22</v>
      </c>
      <c r="N73" s="2">
        <v>123</v>
      </c>
      <c r="O73" s="2">
        <v>7380</v>
      </c>
      <c r="P73" s="2" t="s">
        <v>27</v>
      </c>
      <c r="Q73" s="9">
        <f>Table2[[#This Row],[Room Booked]]*Table2[[#This Row],[Price]]</f>
        <v>162360</v>
      </c>
      <c r="R73" s="4">
        <v>121770</v>
      </c>
    </row>
    <row r="74" spans="1:18" x14ac:dyDescent="0.3">
      <c r="A74" s="2">
        <v>2023</v>
      </c>
      <c r="B74" s="2" t="s">
        <v>57</v>
      </c>
      <c r="C74" s="2" t="s">
        <v>37</v>
      </c>
      <c r="D74" s="2" t="s">
        <v>38</v>
      </c>
      <c r="E74" s="2" t="s">
        <v>96</v>
      </c>
      <c r="F74" s="2" t="s">
        <v>77</v>
      </c>
      <c r="G74" s="2">
        <v>56</v>
      </c>
      <c r="H74" s="2" t="s">
        <v>23</v>
      </c>
      <c r="I74" s="2" t="s">
        <v>24</v>
      </c>
      <c r="J74" s="3">
        <v>45062</v>
      </c>
      <c r="K74" s="2" t="s">
        <v>42</v>
      </c>
      <c r="L74" s="2" t="s">
        <v>26</v>
      </c>
      <c r="M74" s="2">
        <v>25</v>
      </c>
      <c r="N74" s="2">
        <v>109</v>
      </c>
      <c r="O74" s="2">
        <v>42008</v>
      </c>
      <c r="P74" s="2" t="s">
        <v>35</v>
      </c>
      <c r="Q74" s="9">
        <f>Table2[[#This Row],[Room Booked]]*Table2[[#This Row],[Price]]</f>
        <v>1050200</v>
      </c>
      <c r="R74" s="4">
        <v>97668.599999999991</v>
      </c>
    </row>
    <row r="75" spans="1:18" x14ac:dyDescent="0.3">
      <c r="A75" s="2">
        <v>2023</v>
      </c>
      <c r="B75" s="2" t="s">
        <v>47</v>
      </c>
      <c r="C75" s="2" t="s">
        <v>37</v>
      </c>
      <c r="D75" s="2" t="s">
        <v>38</v>
      </c>
      <c r="E75" s="2" t="s">
        <v>96</v>
      </c>
      <c r="F75" s="2" t="s">
        <v>78</v>
      </c>
      <c r="G75" s="2">
        <v>56</v>
      </c>
      <c r="H75" s="2" t="s">
        <v>23</v>
      </c>
      <c r="I75" s="2" t="s">
        <v>24</v>
      </c>
      <c r="J75" s="3">
        <v>45262</v>
      </c>
      <c r="K75" s="2" t="s">
        <v>46</v>
      </c>
      <c r="L75" s="2" t="s">
        <v>43</v>
      </c>
      <c r="M75" s="2">
        <v>38</v>
      </c>
      <c r="N75" s="2">
        <v>113</v>
      </c>
      <c r="O75" s="2">
        <v>5517</v>
      </c>
      <c r="P75" s="2" t="s">
        <v>63</v>
      </c>
      <c r="Q75" s="9">
        <f>Table2[[#This Row],[Room Booked]]*Table2[[#This Row],[Price]]</f>
        <v>209646</v>
      </c>
      <c r="R75" s="4">
        <v>122477.4</v>
      </c>
    </row>
    <row r="76" spans="1:18" x14ac:dyDescent="0.3">
      <c r="A76" s="2">
        <v>2023</v>
      </c>
      <c r="B76" s="2" t="s">
        <v>69</v>
      </c>
      <c r="C76" s="2" t="s">
        <v>37</v>
      </c>
      <c r="D76" s="2" t="s">
        <v>38</v>
      </c>
      <c r="E76" s="2" t="s">
        <v>96</v>
      </c>
      <c r="F76" s="2" t="s">
        <v>79</v>
      </c>
      <c r="G76" s="2">
        <v>52</v>
      </c>
      <c r="H76" s="2" t="s">
        <v>33</v>
      </c>
      <c r="I76" s="2" t="s">
        <v>24</v>
      </c>
      <c r="J76" s="3">
        <v>45249</v>
      </c>
      <c r="K76" s="2" t="s">
        <v>46</v>
      </c>
      <c r="L76" s="2" t="s">
        <v>26</v>
      </c>
      <c r="M76" s="2">
        <v>24</v>
      </c>
      <c r="N76" s="2">
        <v>121</v>
      </c>
      <c r="O76" s="2">
        <v>8790</v>
      </c>
      <c r="P76" s="2" t="s">
        <v>35</v>
      </c>
      <c r="Q76" s="9">
        <f>Table2[[#This Row],[Room Booked]]*Table2[[#This Row],[Price]]</f>
        <v>210960</v>
      </c>
      <c r="R76" s="4">
        <v>152946</v>
      </c>
    </row>
    <row r="77" spans="1:18" x14ac:dyDescent="0.3">
      <c r="A77" s="2">
        <v>2023</v>
      </c>
      <c r="B77" s="2" t="s">
        <v>69</v>
      </c>
      <c r="C77" s="2" t="s">
        <v>37</v>
      </c>
      <c r="D77" s="2" t="s">
        <v>38</v>
      </c>
      <c r="E77" s="2" t="s">
        <v>96</v>
      </c>
      <c r="F77" s="2" t="s">
        <v>81</v>
      </c>
      <c r="G77" s="2">
        <v>64</v>
      </c>
      <c r="H77" s="2" t="s">
        <v>23</v>
      </c>
      <c r="I77" s="2" t="s">
        <v>24</v>
      </c>
      <c r="J77" s="3">
        <v>45243</v>
      </c>
      <c r="K77" s="2" t="s">
        <v>46</v>
      </c>
      <c r="L77" s="2" t="s">
        <v>43</v>
      </c>
      <c r="M77" s="2">
        <v>27</v>
      </c>
      <c r="N77" s="2">
        <v>118</v>
      </c>
      <c r="O77" s="2">
        <v>6681</v>
      </c>
      <c r="P77" s="2" t="s">
        <v>50</v>
      </c>
      <c r="Q77" s="9">
        <f>Table2[[#This Row],[Room Booked]]*Table2[[#This Row],[Price]]</f>
        <v>180387</v>
      </c>
      <c r="R77" s="4">
        <v>132283.79999999999</v>
      </c>
    </row>
    <row r="78" spans="1:18" x14ac:dyDescent="0.3">
      <c r="A78" s="2">
        <v>2023</v>
      </c>
      <c r="B78" s="2" t="s">
        <v>47</v>
      </c>
      <c r="C78" s="2" t="s">
        <v>37</v>
      </c>
      <c r="D78" s="2" t="s">
        <v>38</v>
      </c>
      <c r="E78" s="2" t="s">
        <v>96</v>
      </c>
      <c r="F78" s="2" t="s">
        <v>82</v>
      </c>
      <c r="G78" s="2">
        <v>22</v>
      </c>
      <c r="H78" s="2" t="s">
        <v>23</v>
      </c>
      <c r="I78" s="2" t="s">
        <v>24</v>
      </c>
      <c r="J78" s="3">
        <v>45291</v>
      </c>
      <c r="K78" s="2" t="s">
        <v>42</v>
      </c>
      <c r="L78" s="2" t="s">
        <v>43</v>
      </c>
      <c r="M78" s="2">
        <v>16</v>
      </c>
      <c r="N78" s="2">
        <v>104</v>
      </c>
      <c r="O78" s="2">
        <v>33680</v>
      </c>
      <c r="P78" s="2" t="s">
        <v>35</v>
      </c>
      <c r="Q78" s="9">
        <f>Table2[[#This Row],[Room Booked]]*Table2[[#This Row],[Price]]</f>
        <v>538880</v>
      </c>
      <c r="R78" s="4">
        <v>71991</v>
      </c>
    </row>
    <row r="79" spans="1:18" x14ac:dyDescent="0.3">
      <c r="A79" s="2">
        <v>2022</v>
      </c>
      <c r="B79" s="2" t="s">
        <v>18</v>
      </c>
      <c r="C79" s="2" t="s">
        <v>37</v>
      </c>
      <c r="D79" s="2" t="s">
        <v>38</v>
      </c>
      <c r="E79" s="2" t="s">
        <v>96</v>
      </c>
      <c r="F79" s="2" t="s">
        <v>83</v>
      </c>
      <c r="G79" s="2">
        <v>49</v>
      </c>
      <c r="H79" s="2" t="s">
        <v>33</v>
      </c>
      <c r="I79" s="2" t="s">
        <v>24</v>
      </c>
      <c r="J79" s="3">
        <v>44584</v>
      </c>
      <c r="K79" s="2" t="s">
        <v>80</v>
      </c>
      <c r="L79" s="2" t="s">
        <v>43</v>
      </c>
      <c r="M79" s="2">
        <v>37</v>
      </c>
      <c r="N79" s="2">
        <v>110</v>
      </c>
      <c r="O79" s="2">
        <v>161408</v>
      </c>
      <c r="P79" s="2" t="s">
        <v>27</v>
      </c>
      <c r="Q79" s="9">
        <f>Table2[[#This Row],[Room Booked]]*Table2[[#This Row],[Price]]</f>
        <v>5972096</v>
      </c>
      <c r="R79" s="4">
        <v>43882.799999999996</v>
      </c>
    </row>
    <row r="80" spans="1:18" x14ac:dyDescent="0.3">
      <c r="A80" s="2">
        <v>2023</v>
      </c>
      <c r="B80" s="2" t="s">
        <v>53</v>
      </c>
      <c r="C80" s="2" t="s">
        <v>37</v>
      </c>
      <c r="D80" s="2" t="s">
        <v>38</v>
      </c>
      <c r="E80" s="2" t="s">
        <v>96</v>
      </c>
      <c r="F80" s="2" t="s">
        <v>84</v>
      </c>
      <c r="G80" s="2">
        <v>46</v>
      </c>
      <c r="H80" s="2" t="s">
        <v>33</v>
      </c>
      <c r="I80" s="2" t="s">
        <v>24</v>
      </c>
      <c r="J80" s="3">
        <v>44989</v>
      </c>
      <c r="K80" s="2" t="s">
        <v>49</v>
      </c>
      <c r="L80" s="2" t="s">
        <v>43</v>
      </c>
      <c r="M80" s="2">
        <v>22</v>
      </c>
      <c r="N80" s="2">
        <v>81</v>
      </c>
      <c r="O80" s="2">
        <v>114744</v>
      </c>
      <c r="P80" s="2" t="s">
        <v>27</v>
      </c>
      <c r="Q80" s="9">
        <f>Table2[[#This Row],[Room Booked]]*Table2[[#This Row],[Price]]</f>
        <v>2524368</v>
      </c>
      <c r="R80" s="4">
        <v>58806.299999999996</v>
      </c>
    </row>
    <row r="81" spans="1:18" x14ac:dyDescent="0.3">
      <c r="A81" s="2">
        <v>2023</v>
      </c>
      <c r="B81" s="2" t="s">
        <v>51</v>
      </c>
      <c r="C81" s="2" t="s">
        <v>29</v>
      </c>
      <c r="D81" s="2" t="s">
        <v>20</v>
      </c>
      <c r="E81" s="2" t="s">
        <v>97</v>
      </c>
      <c r="F81" s="2" t="s">
        <v>85</v>
      </c>
      <c r="G81" s="2">
        <v>60</v>
      </c>
      <c r="H81" s="2" t="s">
        <v>33</v>
      </c>
      <c r="I81" s="2" t="s">
        <v>24</v>
      </c>
      <c r="J81" s="3">
        <v>45171</v>
      </c>
      <c r="K81" s="2" t="s">
        <v>49</v>
      </c>
      <c r="L81" s="2" t="s">
        <v>34</v>
      </c>
      <c r="M81" s="2">
        <v>43</v>
      </c>
      <c r="N81" s="2">
        <v>104</v>
      </c>
      <c r="O81" s="2">
        <v>93888</v>
      </c>
      <c r="P81" s="2" t="s">
        <v>63</v>
      </c>
      <c r="Q81" s="9">
        <f>Table2[[#This Row],[Room Booked]]*Table2[[#This Row],[Price]]</f>
        <v>4037184</v>
      </c>
      <c r="R81" s="4">
        <v>96235.199999999997</v>
      </c>
    </row>
    <row r="82" spans="1:18" x14ac:dyDescent="0.3">
      <c r="A82" s="2">
        <v>2022</v>
      </c>
      <c r="B82" s="2" t="s">
        <v>55</v>
      </c>
      <c r="C82" s="2" t="s">
        <v>94</v>
      </c>
      <c r="D82" s="2" t="s">
        <v>20</v>
      </c>
      <c r="E82" s="2" t="s">
        <v>97</v>
      </c>
      <c r="F82" s="2" t="s">
        <v>86</v>
      </c>
      <c r="G82" s="2">
        <v>56</v>
      </c>
      <c r="H82" s="2" t="s">
        <v>33</v>
      </c>
      <c r="I82" s="2" t="s">
        <v>41</v>
      </c>
      <c r="J82" s="3">
        <v>44786</v>
      </c>
      <c r="K82" s="2" t="s">
        <v>65</v>
      </c>
      <c r="L82" s="2" t="s">
        <v>34</v>
      </c>
      <c r="M82" s="2">
        <v>20</v>
      </c>
      <c r="N82" s="2">
        <v>93</v>
      </c>
      <c r="O82" s="2">
        <v>2344</v>
      </c>
      <c r="P82" s="2" t="s">
        <v>27</v>
      </c>
      <c r="Q82" s="9">
        <f>Table2[[#This Row],[Room Booked]]*Table2[[#This Row],[Price]]</f>
        <v>46880</v>
      </c>
      <c r="R82" s="4">
        <v>44301.599999999999</v>
      </c>
    </row>
    <row r="83" spans="1:18" x14ac:dyDescent="0.3">
      <c r="A83" s="2">
        <v>2023</v>
      </c>
      <c r="B83" s="2" t="s">
        <v>55</v>
      </c>
      <c r="C83" s="2" t="s">
        <v>91</v>
      </c>
      <c r="D83" s="2" t="s">
        <v>20</v>
      </c>
      <c r="E83" s="2" t="s">
        <v>97</v>
      </c>
      <c r="F83" s="2" t="s">
        <v>88</v>
      </c>
      <c r="G83" s="2">
        <v>26</v>
      </c>
      <c r="H83" s="2" t="s">
        <v>33</v>
      </c>
      <c r="I83" s="2" t="s">
        <v>41</v>
      </c>
      <c r="J83" s="3">
        <v>45148</v>
      </c>
      <c r="K83" s="2" t="s">
        <v>25</v>
      </c>
      <c r="L83" s="2" t="s">
        <v>26</v>
      </c>
      <c r="M83" s="2">
        <v>28</v>
      </c>
      <c r="N83" s="2">
        <v>119</v>
      </c>
      <c r="O83" s="2">
        <v>7802</v>
      </c>
      <c r="P83" s="2" t="s">
        <v>27</v>
      </c>
      <c r="Q83" s="9">
        <f>Table2[[#This Row],[Room Booked]]*Table2[[#This Row],[Price]]</f>
        <v>218456</v>
      </c>
      <c r="R83" s="4">
        <v>16384.2</v>
      </c>
    </row>
    <row r="84" spans="1:18" x14ac:dyDescent="0.3">
      <c r="A84" s="2">
        <v>2023</v>
      </c>
      <c r="B84" s="2" t="s">
        <v>76</v>
      </c>
      <c r="C84" s="2" t="s">
        <v>37</v>
      </c>
      <c r="D84" s="2" t="s">
        <v>20</v>
      </c>
      <c r="E84" s="2" t="s">
        <v>97</v>
      </c>
      <c r="F84" s="2" t="s">
        <v>89</v>
      </c>
      <c r="G84" s="2">
        <v>62</v>
      </c>
      <c r="H84" s="2" t="s">
        <v>23</v>
      </c>
      <c r="I84" s="2" t="s">
        <v>24</v>
      </c>
      <c r="J84" s="3">
        <v>45125</v>
      </c>
      <c r="K84" s="2" t="s">
        <v>42</v>
      </c>
      <c r="L84" s="2" t="s">
        <v>43</v>
      </c>
      <c r="M84" s="2">
        <v>24</v>
      </c>
      <c r="N84" s="2">
        <v>104</v>
      </c>
      <c r="O84" s="2">
        <v>26616</v>
      </c>
      <c r="P84" s="2" t="s">
        <v>27</v>
      </c>
      <c r="Q84" s="9">
        <f>Table2[[#This Row],[Room Booked]]*Table2[[#This Row],[Price]]</f>
        <v>638784</v>
      </c>
      <c r="R84" s="4">
        <v>58887.9</v>
      </c>
    </row>
    <row r="85" spans="1:18" x14ac:dyDescent="0.3">
      <c r="A85" s="2">
        <v>2022</v>
      </c>
      <c r="B85" s="2" t="s">
        <v>53</v>
      </c>
      <c r="C85" s="2" t="s">
        <v>37</v>
      </c>
      <c r="D85" s="2" t="s">
        <v>20</v>
      </c>
      <c r="E85" s="2" t="s">
        <v>97</v>
      </c>
      <c r="F85" s="2" t="s">
        <v>90</v>
      </c>
      <c r="G85" s="2">
        <v>40</v>
      </c>
      <c r="H85" s="2" t="s">
        <v>33</v>
      </c>
      <c r="I85" s="2" t="s">
        <v>41</v>
      </c>
      <c r="J85" s="3">
        <v>44629</v>
      </c>
      <c r="K85" s="2" t="s">
        <v>25</v>
      </c>
      <c r="L85" s="2" t="s">
        <v>26</v>
      </c>
      <c r="M85" s="2">
        <v>32</v>
      </c>
      <c r="N85" s="2">
        <v>118</v>
      </c>
      <c r="O85" s="2">
        <v>9387</v>
      </c>
      <c r="P85" s="2" t="s">
        <v>63</v>
      </c>
      <c r="Q85" s="9">
        <f>Table2[[#This Row],[Room Booked]]*Table2[[#This Row],[Price]]</f>
        <v>300384</v>
      </c>
      <c r="R85" s="4">
        <v>67586.399999999994</v>
      </c>
    </row>
    <row r="86" spans="1:18" x14ac:dyDescent="0.3">
      <c r="A86" s="2">
        <v>2022</v>
      </c>
      <c r="B86" s="2" t="s">
        <v>47</v>
      </c>
      <c r="C86" s="2" t="s">
        <v>19</v>
      </c>
      <c r="D86" s="2" t="s">
        <v>20</v>
      </c>
      <c r="E86" s="2" t="s">
        <v>97</v>
      </c>
      <c r="F86" s="2" t="s">
        <v>22</v>
      </c>
      <c r="G86" s="2">
        <v>35</v>
      </c>
      <c r="H86" s="2" t="s">
        <v>33</v>
      </c>
      <c r="I86" s="2" t="s">
        <v>24</v>
      </c>
      <c r="J86" s="3">
        <v>44907</v>
      </c>
      <c r="K86" s="2" t="s">
        <v>49</v>
      </c>
      <c r="L86" s="2" t="s">
        <v>34</v>
      </c>
      <c r="M86" s="2">
        <v>26</v>
      </c>
      <c r="N86" s="2">
        <v>119</v>
      </c>
      <c r="O86" s="2">
        <v>116352</v>
      </c>
      <c r="P86" s="2" t="s">
        <v>50</v>
      </c>
      <c r="Q86" s="9">
        <f>Table2[[#This Row],[Room Booked]]*Table2[[#This Row],[Price]]</f>
        <v>3025152</v>
      </c>
      <c r="R86" s="4">
        <v>91627.199999999997</v>
      </c>
    </row>
    <row r="87" spans="1:18" x14ac:dyDescent="0.3">
      <c r="A87" s="2">
        <v>2022</v>
      </c>
      <c r="B87" s="2" t="s">
        <v>47</v>
      </c>
      <c r="C87" s="2" t="s">
        <v>87</v>
      </c>
      <c r="D87" s="2" t="s">
        <v>20</v>
      </c>
      <c r="E87" s="2" t="s">
        <v>97</v>
      </c>
      <c r="F87" s="2" t="s">
        <v>32</v>
      </c>
      <c r="G87" s="2">
        <v>63</v>
      </c>
      <c r="H87" s="2" t="s">
        <v>33</v>
      </c>
      <c r="I87" s="2" t="s">
        <v>24</v>
      </c>
      <c r="J87" s="3">
        <v>44926</v>
      </c>
      <c r="K87" s="2" t="s">
        <v>49</v>
      </c>
      <c r="L87" s="2" t="s">
        <v>43</v>
      </c>
      <c r="M87" s="2">
        <v>38</v>
      </c>
      <c r="N87" s="2">
        <v>115</v>
      </c>
      <c r="O87" s="2">
        <v>132480</v>
      </c>
      <c r="P87" s="2" t="s">
        <v>27</v>
      </c>
      <c r="Q87" s="9">
        <f>Table2[[#This Row],[Room Booked]]*Table2[[#This Row],[Price]]</f>
        <v>5034240</v>
      </c>
      <c r="R87" s="4">
        <v>157320</v>
      </c>
    </row>
    <row r="88" spans="1:18" x14ac:dyDescent="0.3">
      <c r="A88" s="2">
        <v>2022</v>
      </c>
      <c r="B88" s="2" t="s">
        <v>57</v>
      </c>
      <c r="C88" s="2" t="s">
        <v>70</v>
      </c>
      <c r="D88" s="2" t="s">
        <v>20</v>
      </c>
      <c r="E88" s="2" t="s">
        <v>97</v>
      </c>
      <c r="F88" s="2" t="s">
        <v>40</v>
      </c>
      <c r="G88" s="2">
        <v>37</v>
      </c>
      <c r="H88" s="2" t="s">
        <v>33</v>
      </c>
      <c r="I88" s="2" t="s">
        <v>24</v>
      </c>
      <c r="J88" s="3">
        <v>44701</v>
      </c>
      <c r="K88" s="2" t="s">
        <v>80</v>
      </c>
      <c r="L88" s="2" t="s">
        <v>34</v>
      </c>
      <c r="M88" s="2">
        <v>38</v>
      </c>
      <c r="N88" s="2">
        <v>115</v>
      </c>
      <c r="O88" s="2">
        <v>241984</v>
      </c>
      <c r="P88" s="2" t="s">
        <v>27</v>
      </c>
      <c r="Q88" s="9">
        <f>Table2[[#This Row],[Room Booked]]*Table2[[#This Row],[Price]]</f>
        <v>9195392</v>
      </c>
      <c r="R88" s="4">
        <v>215517</v>
      </c>
    </row>
    <row r="89" spans="1:18" x14ac:dyDescent="0.3">
      <c r="A89" s="2">
        <v>2022</v>
      </c>
      <c r="B89" s="2" t="s">
        <v>28</v>
      </c>
      <c r="C89" s="2" t="s">
        <v>87</v>
      </c>
      <c r="D89" s="2" t="s">
        <v>20</v>
      </c>
      <c r="E89" s="2" t="s">
        <v>97</v>
      </c>
      <c r="F89" s="2" t="s">
        <v>45</v>
      </c>
      <c r="G89" s="2">
        <v>40</v>
      </c>
      <c r="H89" s="2" t="s">
        <v>33</v>
      </c>
      <c r="I89" s="2" t="s">
        <v>24</v>
      </c>
      <c r="J89" s="3">
        <v>44667</v>
      </c>
      <c r="K89" s="2" t="s">
        <v>49</v>
      </c>
      <c r="L89" s="2" t="s">
        <v>26</v>
      </c>
      <c r="M89" s="2">
        <v>29</v>
      </c>
      <c r="N89" s="2">
        <v>97</v>
      </c>
      <c r="O89" s="2">
        <v>116568</v>
      </c>
      <c r="P89" s="2" t="s">
        <v>27</v>
      </c>
      <c r="Q89" s="9">
        <f>Table2[[#This Row],[Room Booked]]*Table2[[#This Row],[Price]]</f>
        <v>3380472</v>
      </c>
      <c r="R89" s="4">
        <v>104911.2</v>
      </c>
    </row>
    <row r="90" spans="1:18" x14ac:dyDescent="0.3">
      <c r="A90" s="2">
        <v>2023</v>
      </c>
      <c r="B90" s="2" t="s">
        <v>55</v>
      </c>
      <c r="C90" s="2" t="s">
        <v>91</v>
      </c>
      <c r="D90" s="2" t="s">
        <v>20</v>
      </c>
      <c r="E90" s="2" t="s">
        <v>97</v>
      </c>
      <c r="F90" s="2" t="s">
        <v>48</v>
      </c>
      <c r="G90" s="2">
        <v>33</v>
      </c>
      <c r="H90" s="2" t="s">
        <v>33</v>
      </c>
      <c r="I90" s="2" t="s">
        <v>41</v>
      </c>
      <c r="J90" s="3">
        <v>45150</v>
      </c>
      <c r="K90" s="2" t="s">
        <v>49</v>
      </c>
      <c r="L90" s="2" t="s">
        <v>26</v>
      </c>
      <c r="M90" s="2">
        <v>22</v>
      </c>
      <c r="N90" s="2">
        <v>80</v>
      </c>
      <c r="O90" s="2">
        <v>53736</v>
      </c>
      <c r="P90" s="2" t="s">
        <v>50</v>
      </c>
      <c r="Q90" s="9">
        <f>Table2[[#This Row],[Room Booked]]*Table2[[#This Row],[Price]]</f>
        <v>1182192</v>
      </c>
      <c r="R90" s="4">
        <v>36943.5</v>
      </c>
    </row>
    <row r="91" spans="1:18" x14ac:dyDescent="0.3">
      <c r="A91" s="2">
        <v>2023</v>
      </c>
      <c r="B91" s="2" t="s">
        <v>57</v>
      </c>
      <c r="C91" s="2" t="s">
        <v>19</v>
      </c>
      <c r="D91" s="2" t="s">
        <v>20</v>
      </c>
      <c r="E91" s="2" t="s">
        <v>97</v>
      </c>
      <c r="F91" s="2" t="s">
        <v>52</v>
      </c>
      <c r="G91" s="2">
        <v>31</v>
      </c>
      <c r="H91" s="2" t="s">
        <v>33</v>
      </c>
      <c r="I91" s="2" t="s">
        <v>41</v>
      </c>
      <c r="J91" s="3">
        <v>45070</v>
      </c>
      <c r="K91" s="2" t="s">
        <v>68</v>
      </c>
      <c r="L91" s="2" t="s">
        <v>43</v>
      </c>
      <c r="M91" s="2">
        <v>10</v>
      </c>
      <c r="N91" s="2">
        <v>117</v>
      </c>
      <c r="O91" s="2">
        <v>219168</v>
      </c>
      <c r="P91" s="2" t="s">
        <v>63</v>
      </c>
      <c r="Q91" s="9">
        <f>Table2[[#This Row],[Room Booked]]*Table2[[#This Row],[Price]]</f>
        <v>2191680</v>
      </c>
      <c r="R91" s="4">
        <v>17122.5</v>
      </c>
    </row>
    <row r="92" spans="1:18" x14ac:dyDescent="0.3">
      <c r="A92" s="2">
        <v>2023</v>
      </c>
      <c r="B92" s="2" t="s">
        <v>53</v>
      </c>
      <c r="C92" s="2" t="s">
        <v>94</v>
      </c>
      <c r="D92" s="2" t="s">
        <v>20</v>
      </c>
      <c r="E92" s="2" t="s">
        <v>97</v>
      </c>
      <c r="F92" s="2" t="s">
        <v>54</v>
      </c>
      <c r="G92" s="2">
        <v>72</v>
      </c>
      <c r="H92" s="2" t="s">
        <v>23</v>
      </c>
      <c r="I92" s="2" t="s">
        <v>24</v>
      </c>
      <c r="J92" s="3">
        <v>44999</v>
      </c>
      <c r="K92" s="2" t="s">
        <v>46</v>
      </c>
      <c r="L92" s="2" t="s">
        <v>34</v>
      </c>
      <c r="M92" s="2">
        <v>4</v>
      </c>
      <c r="N92" s="2">
        <v>89</v>
      </c>
      <c r="O92" s="2">
        <v>2398</v>
      </c>
      <c r="P92" s="2" t="s">
        <v>35</v>
      </c>
      <c r="Q92" s="9">
        <f>Table2[[#This Row],[Room Booked]]*Table2[[#This Row],[Price]]</f>
        <v>9592</v>
      </c>
      <c r="R92" s="4">
        <v>5755.2</v>
      </c>
    </row>
    <row r="93" spans="1:18" x14ac:dyDescent="0.3">
      <c r="A93" s="2">
        <v>2022</v>
      </c>
      <c r="B93" s="2" t="s">
        <v>53</v>
      </c>
      <c r="C93" s="2" t="s">
        <v>19</v>
      </c>
      <c r="D93" s="2" t="s">
        <v>92</v>
      </c>
      <c r="E93" s="2" t="s">
        <v>98</v>
      </c>
      <c r="F93" s="2" t="s">
        <v>56</v>
      </c>
      <c r="G93" s="2">
        <v>64</v>
      </c>
      <c r="H93" s="2" t="s">
        <v>23</v>
      </c>
      <c r="I93" s="2" t="s">
        <v>24</v>
      </c>
      <c r="J93" s="3">
        <v>44646</v>
      </c>
      <c r="K93" s="2" t="s">
        <v>25</v>
      </c>
      <c r="L93" s="2" t="s">
        <v>34</v>
      </c>
      <c r="M93" s="2">
        <v>26</v>
      </c>
      <c r="N93" s="2">
        <v>114</v>
      </c>
      <c r="O93" s="2">
        <v>3976</v>
      </c>
      <c r="P93" s="2" t="s">
        <v>50</v>
      </c>
      <c r="Q93" s="9">
        <f>Table2[[#This Row],[Room Booked]]*Table2[[#This Row],[Price]]</f>
        <v>103376</v>
      </c>
      <c r="R93" s="4">
        <v>75146.399999999994</v>
      </c>
    </row>
    <row r="94" spans="1:18" x14ac:dyDescent="0.3">
      <c r="A94" s="2">
        <v>2022</v>
      </c>
      <c r="B94" s="2" t="s">
        <v>55</v>
      </c>
      <c r="C94" s="2" t="s">
        <v>29</v>
      </c>
      <c r="D94" s="2" t="s">
        <v>92</v>
      </c>
      <c r="E94" s="2" t="s">
        <v>98</v>
      </c>
      <c r="F94" s="2" t="s">
        <v>58</v>
      </c>
      <c r="G94" s="2">
        <v>22</v>
      </c>
      <c r="H94" s="2" t="s">
        <v>33</v>
      </c>
      <c r="I94" s="2" t="s">
        <v>41</v>
      </c>
      <c r="J94" s="3">
        <v>44782</v>
      </c>
      <c r="K94" s="2" t="s">
        <v>42</v>
      </c>
      <c r="L94" s="2" t="s">
        <v>26</v>
      </c>
      <c r="M94" s="2">
        <v>38</v>
      </c>
      <c r="N94" s="2">
        <v>105</v>
      </c>
      <c r="O94" s="2">
        <v>35248</v>
      </c>
      <c r="P94" s="2" t="s">
        <v>35</v>
      </c>
      <c r="Q94" s="9">
        <f>Table2[[#This Row],[Room Booked]]*Table2[[#This Row],[Price]]</f>
        <v>1339424</v>
      </c>
      <c r="R94" s="4">
        <v>91204.2</v>
      </c>
    </row>
    <row r="95" spans="1:18" x14ac:dyDescent="0.3">
      <c r="A95" s="2">
        <v>2023</v>
      </c>
      <c r="B95" s="2" t="s">
        <v>57</v>
      </c>
      <c r="C95" s="2" t="s">
        <v>37</v>
      </c>
      <c r="D95" s="2" t="s">
        <v>92</v>
      </c>
      <c r="E95" s="2" t="s">
        <v>98</v>
      </c>
      <c r="F95" s="2" t="s">
        <v>62</v>
      </c>
      <c r="G95" s="2">
        <v>49</v>
      </c>
      <c r="H95" s="2" t="s">
        <v>23</v>
      </c>
      <c r="I95" s="2" t="s">
        <v>24</v>
      </c>
      <c r="J95" s="3">
        <v>45062</v>
      </c>
      <c r="K95" s="2" t="s">
        <v>42</v>
      </c>
      <c r="L95" s="2" t="s">
        <v>26</v>
      </c>
      <c r="M95" s="2">
        <v>25</v>
      </c>
      <c r="N95" s="2">
        <v>109</v>
      </c>
      <c r="O95" s="2">
        <v>42008</v>
      </c>
      <c r="P95" s="2" t="s">
        <v>35</v>
      </c>
      <c r="Q95" s="9">
        <f>Table2[[#This Row],[Room Booked]]*Table2[[#This Row],[Price]]</f>
        <v>1050200</v>
      </c>
      <c r="R95" s="4">
        <v>97668.599999999991</v>
      </c>
    </row>
    <row r="96" spans="1:18" x14ac:dyDescent="0.3">
      <c r="A96" s="2">
        <v>2022</v>
      </c>
      <c r="B96" s="2" t="s">
        <v>18</v>
      </c>
      <c r="C96" s="2" t="s">
        <v>59</v>
      </c>
      <c r="D96" s="2" t="s">
        <v>92</v>
      </c>
      <c r="E96" s="2" t="s">
        <v>98</v>
      </c>
      <c r="F96" s="2" t="s">
        <v>64</v>
      </c>
      <c r="G96" s="2">
        <v>46</v>
      </c>
      <c r="H96" s="2" t="s">
        <v>23</v>
      </c>
      <c r="I96" s="2" t="s">
        <v>24</v>
      </c>
      <c r="J96" s="3">
        <v>44576</v>
      </c>
      <c r="K96" s="2" t="s">
        <v>49</v>
      </c>
      <c r="L96" s="2" t="s">
        <v>34</v>
      </c>
      <c r="M96" s="2">
        <v>16</v>
      </c>
      <c r="N96" s="2">
        <v>99</v>
      </c>
      <c r="O96" s="2">
        <v>220104</v>
      </c>
      <c r="P96" s="2" t="s">
        <v>63</v>
      </c>
      <c r="Q96" s="9">
        <f>Table2[[#This Row],[Room Booked]]*Table2[[#This Row],[Price]]</f>
        <v>3521664</v>
      </c>
      <c r="R96" s="4">
        <v>104549.4</v>
      </c>
    </row>
    <row r="97" spans="1:18" x14ac:dyDescent="0.3">
      <c r="A97" s="2">
        <v>2022</v>
      </c>
      <c r="B97" s="2" t="s">
        <v>44</v>
      </c>
      <c r="C97" s="2" t="s">
        <v>19</v>
      </c>
      <c r="D97" s="2" t="s">
        <v>92</v>
      </c>
      <c r="E97" s="2" t="s">
        <v>98</v>
      </c>
      <c r="F97" s="2" t="s">
        <v>66</v>
      </c>
      <c r="G97" s="2">
        <v>38</v>
      </c>
      <c r="H97" s="2" t="s">
        <v>23</v>
      </c>
      <c r="I97" s="2" t="s">
        <v>24</v>
      </c>
      <c r="J97" s="3">
        <v>44850</v>
      </c>
      <c r="K97" s="2" t="s">
        <v>65</v>
      </c>
      <c r="L97" s="2" t="s">
        <v>34</v>
      </c>
      <c r="M97" s="2">
        <v>38</v>
      </c>
      <c r="N97" s="2">
        <v>115</v>
      </c>
      <c r="O97" s="2">
        <v>9707</v>
      </c>
      <c r="P97" s="2" t="s">
        <v>63</v>
      </c>
      <c r="Q97" s="9">
        <f>Table2[[#This Row],[Room Booked]]*Table2[[#This Row],[Price]]</f>
        <v>368866</v>
      </c>
      <c r="R97" s="4">
        <v>270825.3</v>
      </c>
    </row>
    <row r="98" spans="1:18" x14ac:dyDescent="0.3">
      <c r="A98" s="2">
        <v>2023</v>
      </c>
      <c r="B98" s="2" t="s">
        <v>51</v>
      </c>
      <c r="C98" s="2" t="s">
        <v>19</v>
      </c>
      <c r="D98" s="2" t="s">
        <v>92</v>
      </c>
      <c r="E98" s="2" t="s">
        <v>98</v>
      </c>
      <c r="F98" s="2" t="s">
        <v>67</v>
      </c>
      <c r="G98" s="2">
        <v>45</v>
      </c>
      <c r="H98" s="2" t="s">
        <v>23</v>
      </c>
      <c r="I98" s="2" t="s">
        <v>24</v>
      </c>
      <c r="J98" s="3">
        <v>45182</v>
      </c>
      <c r="K98" s="2" t="s">
        <v>25</v>
      </c>
      <c r="L98" s="2" t="s">
        <v>34</v>
      </c>
      <c r="M98" s="2">
        <v>24</v>
      </c>
      <c r="N98" s="2">
        <v>80</v>
      </c>
      <c r="O98" s="2">
        <v>340</v>
      </c>
      <c r="P98" s="2" t="s">
        <v>27</v>
      </c>
      <c r="Q98" s="9">
        <f>Table2[[#This Row],[Room Booked]]*Table2[[#This Row],[Price]]</f>
        <v>8160</v>
      </c>
      <c r="R98" s="4">
        <v>6018</v>
      </c>
    </row>
    <row r="99" spans="1:18" x14ac:dyDescent="0.3">
      <c r="A99" s="2">
        <v>2023</v>
      </c>
      <c r="B99" s="2" t="s">
        <v>36</v>
      </c>
      <c r="C99" s="2" t="s">
        <v>29</v>
      </c>
      <c r="D99" s="2" t="s">
        <v>92</v>
      </c>
      <c r="E99" s="2" t="s">
        <v>98</v>
      </c>
      <c r="F99" s="2" t="s">
        <v>73</v>
      </c>
      <c r="G99" s="2">
        <v>35</v>
      </c>
      <c r="H99" s="2" t="s">
        <v>33</v>
      </c>
      <c r="I99" s="2" t="s">
        <v>41</v>
      </c>
      <c r="J99" s="3">
        <v>45095</v>
      </c>
      <c r="K99" s="2" t="s">
        <v>68</v>
      </c>
      <c r="L99" s="2" t="s">
        <v>26</v>
      </c>
      <c r="M99" s="2">
        <v>27</v>
      </c>
      <c r="N99" s="2">
        <v>109</v>
      </c>
      <c r="O99" s="2">
        <v>76704</v>
      </c>
      <c r="P99" s="2" t="s">
        <v>50</v>
      </c>
      <c r="Q99" s="9">
        <f>Table2[[#This Row],[Room Booked]]*Table2[[#This Row],[Price]]</f>
        <v>2071008</v>
      </c>
      <c r="R99" s="4">
        <v>86702.7</v>
      </c>
    </row>
    <row r="100" spans="1:18" x14ac:dyDescent="0.3">
      <c r="A100" s="2">
        <v>2022</v>
      </c>
      <c r="B100" s="2" t="s">
        <v>69</v>
      </c>
      <c r="C100" s="2" t="s">
        <v>70</v>
      </c>
      <c r="D100" s="2" t="s">
        <v>92</v>
      </c>
      <c r="E100" s="2" t="s">
        <v>98</v>
      </c>
      <c r="F100" s="2" t="s">
        <v>74</v>
      </c>
      <c r="G100" s="2">
        <v>56</v>
      </c>
      <c r="H100" s="2" t="s">
        <v>23</v>
      </c>
      <c r="I100" s="2" t="s">
        <v>41</v>
      </c>
      <c r="J100" s="3">
        <v>44892</v>
      </c>
      <c r="K100" s="2" t="s">
        <v>49</v>
      </c>
      <c r="L100" s="2" t="s">
        <v>43</v>
      </c>
      <c r="M100" s="2">
        <v>34</v>
      </c>
      <c r="N100" s="2">
        <v>96</v>
      </c>
      <c r="O100" s="2">
        <v>17304</v>
      </c>
      <c r="P100" s="2" t="s">
        <v>27</v>
      </c>
      <c r="Q100" s="9">
        <f>Table2[[#This Row],[Room Booked]]*Table2[[#This Row],[Price]]</f>
        <v>588336</v>
      </c>
      <c r="R100" s="4">
        <v>17952.899999999998</v>
      </c>
    </row>
    <row r="101" spans="1:18" x14ac:dyDescent="0.3">
      <c r="A101" s="2">
        <v>2023</v>
      </c>
      <c r="B101" s="2" t="s">
        <v>44</v>
      </c>
      <c r="C101" s="2" t="s">
        <v>19</v>
      </c>
      <c r="D101" s="2" t="s">
        <v>92</v>
      </c>
      <c r="E101" s="2" t="s">
        <v>98</v>
      </c>
      <c r="F101" s="2" t="s">
        <v>75</v>
      </c>
      <c r="G101" s="2">
        <v>56</v>
      </c>
      <c r="H101" s="2" t="s">
        <v>23</v>
      </c>
      <c r="I101" s="2" t="s">
        <v>24</v>
      </c>
      <c r="J101" s="3">
        <v>45202</v>
      </c>
      <c r="K101" s="2" t="s">
        <v>49</v>
      </c>
      <c r="L101" s="2" t="s">
        <v>26</v>
      </c>
      <c r="M101" s="2">
        <v>14</v>
      </c>
      <c r="N101" s="2">
        <v>105</v>
      </c>
      <c r="O101" s="2">
        <v>155856</v>
      </c>
      <c r="P101" s="2" t="s">
        <v>27</v>
      </c>
      <c r="Q101" s="9">
        <f>Table2[[#This Row],[Room Booked]]*Table2[[#This Row],[Price]]</f>
        <v>2181984</v>
      </c>
      <c r="R101" s="4">
        <v>64290.6</v>
      </c>
    </row>
    <row r="102" spans="1:18" x14ac:dyDescent="0.3">
      <c r="A102" s="2">
        <v>2022</v>
      </c>
      <c r="B102" s="2" t="s">
        <v>44</v>
      </c>
      <c r="C102" s="2" t="s">
        <v>19</v>
      </c>
      <c r="D102" s="2" t="s">
        <v>92</v>
      </c>
      <c r="E102" s="2" t="s">
        <v>98</v>
      </c>
      <c r="F102" s="2" t="s">
        <v>77</v>
      </c>
      <c r="G102" s="2">
        <v>55</v>
      </c>
      <c r="H102" s="2" t="s">
        <v>23</v>
      </c>
      <c r="I102" s="2" t="s">
        <v>24</v>
      </c>
      <c r="J102" s="3">
        <v>44860</v>
      </c>
      <c r="K102" s="2" t="s">
        <v>65</v>
      </c>
      <c r="L102" s="2" t="s">
        <v>34</v>
      </c>
      <c r="M102" s="2">
        <v>21</v>
      </c>
      <c r="N102" s="2">
        <v>92</v>
      </c>
      <c r="O102" s="2">
        <v>1945</v>
      </c>
      <c r="P102" s="2" t="s">
        <v>50</v>
      </c>
      <c r="Q102" s="9">
        <f>Table2[[#This Row],[Room Booked]]*Table2[[#This Row],[Price]]</f>
        <v>40845</v>
      </c>
      <c r="R102" s="4">
        <v>19255.5</v>
      </c>
    </row>
    <row r="103" spans="1:18" x14ac:dyDescent="0.3">
      <c r="A103" s="2">
        <v>2023</v>
      </c>
      <c r="B103" s="2" t="s">
        <v>76</v>
      </c>
      <c r="C103" s="2" t="s">
        <v>70</v>
      </c>
      <c r="D103" s="2" t="s">
        <v>92</v>
      </c>
      <c r="E103" s="2" t="s">
        <v>98</v>
      </c>
      <c r="F103" s="2" t="s">
        <v>78</v>
      </c>
      <c r="G103" s="2">
        <v>19</v>
      </c>
      <c r="H103" s="2" t="s">
        <v>23</v>
      </c>
      <c r="I103" s="2" t="s">
        <v>41</v>
      </c>
      <c r="J103" s="3">
        <v>45138</v>
      </c>
      <c r="K103" s="2" t="s">
        <v>42</v>
      </c>
      <c r="L103" s="2" t="s">
        <v>43</v>
      </c>
      <c r="M103" s="2">
        <v>16</v>
      </c>
      <c r="N103" s="2">
        <v>110</v>
      </c>
      <c r="O103" s="2">
        <v>75528</v>
      </c>
      <c r="P103" s="2" t="s">
        <v>63</v>
      </c>
      <c r="Q103" s="9">
        <f>Table2[[#This Row],[Room Booked]]*Table2[[#This Row],[Price]]</f>
        <v>1208448</v>
      </c>
      <c r="R103" s="4">
        <v>107627.4</v>
      </c>
    </row>
    <row r="104" spans="1:18" x14ac:dyDescent="0.3">
      <c r="A104" s="2">
        <v>2022</v>
      </c>
      <c r="B104" s="2" t="s">
        <v>51</v>
      </c>
      <c r="C104" s="2" t="s">
        <v>59</v>
      </c>
      <c r="D104" s="2" t="s">
        <v>92</v>
      </c>
      <c r="E104" s="2" t="s">
        <v>98</v>
      </c>
      <c r="F104" s="2" t="s">
        <v>79</v>
      </c>
      <c r="G104" s="2">
        <v>58</v>
      </c>
      <c r="H104" s="2" t="s">
        <v>23</v>
      </c>
      <c r="I104" s="2" t="s">
        <v>24</v>
      </c>
      <c r="J104" s="3">
        <v>44811</v>
      </c>
      <c r="K104" s="2" t="s">
        <v>65</v>
      </c>
      <c r="L104" s="2" t="s">
        <v>34</v>
      </c>
      <c r="M104" s="2">
        <v>4</v>
      </c>
      <c r="N104" s="2">
        <v>119</v>
      </c>
      <c r="O104" s="2">
        <v>1683</v>
      </c>
      <c r="P104" s="2" t="s">
        <v>63</v>
      </c>
      <c r="Q104" s="9">
        <f>Table2[[#This Row],[Room Booked]]*Table2[[#This Row],[Price]]</f>
        <v>6732</v>
      </c>
      <c r="R104" s="4">
        <v>19691.099999999999</v>
      </c>
    </row>
    <row r="105" spans="1:18" x14ac:dyDescent="0.3">
      <c r="A105" s="2">
        <v>2022</v>
      </c>
      <c r="B105" s="2" t="s">
        <v>18</v>
      </c>
      <c r="C105" s="2" t="s">
        <v>59</v>
      </c>
      <c r="D105" s="2" t="s">
        <v>60</v>
      </c>
      <c r="E105" s="2" t="s">
        <v>99</v>
      </c>
      <c r="F105" s="2" t="s">
        <v>81</v>
      </c>
      <c r="G105" s="2">
        <v>46</v>
      </c>
      <c r="H105" s="2" t="s">
        <v>23</v>
      </c>
      <c r="I105" s="2" t="s">
        <v>41</v>
      </c>
      <c r="J105" s="3">
        <v>44576</v>
      </c>
      <c r="K105" s="2" t="s">
        <v>49</v>
      </c>
      <c r="L105" s="2" t="s">
        <v>34</v>
      </c>
      <c r="M105" s="2">
        <v>8</v>
      </c>
      <c r="N105" s="2">
        <v>99</v>
      </c>
      <c r="O105" s="2">
        <v>220104</v>
      </c>
      <c r="P105" s="2" t="s">
        <v>63</v>
      </c>
      <c r="Q105" s="9">
        <f>Table2[[#This Row],[Room Booked]]*Table2[[#This Row],[Price]]</f>
        <v>1760832</v>
      </c>
      <c r="R105" s="4">
        <v>104549.4</v>
      </c>
    </row>
    <row r="106" spans="1:18" x14ac:dyDescent="0.3">
      <c r="A106" s="2">
        <v>2022</v>
      </c>
      <c r="B106" s="2" t="s">
        <v>51</v>
      </c>
      <c r="C106" s="2" t="s">
        <v>59</v>
      </c>
      <c r="D106" s="2" t="s">
        <v>60</v>
      </c>
      <c r="E106" s="2" t="s">
        <v>99</v>
      </c>
      <c r="F106" s="2" t="s">
        <v>82</v>
      </c>
      <c r="G106" s="2">
        <v>58</v>
      </c>
      <c r="H106" s="2" t="s">
        <v>23</v>
      </c>
      <c r="I106" s="2" t="s">
        <v>41</v>
      </c>
      <c r="J106" s="3">
        <v>44811</v>
      </c>
      <c r="K106" s="2" t="s">
        <v>65</v>
      </c>
      <c r="L106" s="2" t="s">
        <v>34</v>
      </c>
      <c r="M106" s="2">
        <v>8</v>
      </c>
      <c r="N106" s="2">
        <v>119</v>
      </c>
      <c r="O106" s="2">
        <v>1683</v>
      </c>
      <c r="P106" s="2" t="s">
        <v>63</v>
      </c>
      <c r="Q106" s="9">
        <f>Table2[[#This Row],[Room Booked]]*Table2[[#This Row],[Price]]</f>
        <v>13464</v>
      </c>
      <c r="R106" s="4">
        <v>19691.099999999999</v>
      </c>
    </row>
    <row r="107" spans="1:18" x14ac:dyDescent="0.3">
      <c r="A107" s="2">
        <v>2022</v>
      </c>
      <c r="B107" s="2" t="s">
        <v>55</v>
      </c>
      <c r="C107" s="2" t="s">
        <v>94</v>
      </c>
      <c r="D107" s="2" t="s">
        <v>60</v>
      </c>
      <c r="E107" s="2" t="s">
        <v>99</v>
      </c>
      <c r="F107" s="2" t="s">
        <v>83</v>
      </c>
      <c r="G107" s="2">
        <v>54</v>
      </c>
      <c r="H107" s="2" t="s">
        <v>23</v>
      </c>
      <c r="I107" s="2" t="s">
        <v>41</v>
      </c>
      <c r="J107" s="3">
        <v>44776</v>
      </c>
      <c r="K107" s="2" t="s">
        <v>68</v>
      </c>
      <c r="L107" s="2" t="s">
        <v>43</v>
      </c>
      <c r="M107" s="2">
        <v>28</v>
      </c>
      <c r="N107" s="2">
        <v>123</v>
      </c>
      <c r="O107" s="2">
        <v>52768</v>
      </c>
      <c r="P107" s="2" t="s">
        <v>63</v>
      </c>
      <c r="Q107" s="9">
        <f>Table2[[#This Row],[Room Booked]]*Table2[[#This Row],[Price]]</f>
        <v>1477504</v>
      </c>
      <c r="R107" s="4">
        <v>117463.2</v>
      </c>
    </row>
    <row r="108" spans="1:18" x14ac:dyDescent="0.3">
      <c r="A108" s="2">
        <v>2023</v>
      </c>
      <c r="B108" s="2" t="s">
        <v>36</v>
      </c>
      <c r="C108" s="2" t="s">
        <v>94</v>
      </c>
      <c r="D108" s="2" t="s">
        <v>60</v>
      </c>
      <c r="E108" s="2" t="s">
        <v>99</v>
      </c>
      <c r="F108" s="2" t="s">
        <v>84</v>
      </c>
      <c r="G108" s="2">
        <v>68</v>
      </c>
      <c r="H108" s="2" t="s">
        <v>33</v>
      </c>
      <c r="I108" s="2" t="s">
        <v>24</v>
      </c>
      <c r="J108" s="3">
        <v>45099</v>
      </c>
      <c r="K108" s="2" t="s">
        <v>68</v>
      </c>
      <c r="L108" s="2" t="s">
        <v>26</v>
      </c>
      <c r="M108" s="2">
        <v>28</v>
      </c>
      <c r="N108" s="2">
        <v>99</v>
      </c>
      <c r="O108" s="2">
        <v>23616</v>
      </c>
      <c r="P108" s="2" t="s">
        <v>50</v>
      </c>
      <c r="Q108" s="9">
        <f>Table2[[#This Row],[Room Booked]]*Table2[[#This Row],[Price]]</f>
        <v>661248</v>
      </c>
      <c r="R108" s="4">
        <v>31350.3</v>
      </c>
    </row>
    <row r="109" spans="1:18" x14ac:dyDescent="0.3">
      <c r="A109" s="2">
        <v>2022</v>
      </c>
      <c r="B109" s="2" t="s">
        <v>36</v>
      </c>
      <c r="C109" s="2" t="s">
        <v>94</v>
      </c>
      <c r="D109" s="2" t="s">
        <v>60</v>
      </c>
      <c r="E109" s="2" t="s">
        <v>99</v>
      </c>
      <c r="F109" s="2" t="s">
        <v>85</v>
      </c>
      <c r="G109" s="2">
        <v>52</v>
      </c>
      <c r="H109" s="2" t="s">
        <v>33</v>
      </c>
      <c r="I109" s="2" t="s">
        <v>24</v>
      </c>
      <c r="J109" s="3">
        <v>44738</v>
      </c>
      <c r="K109" s="2" t="s">
        <v>46</v>
      </c>
      <c r="L109" s="2" t="s">
        <v>26</v>
      </c>
      <c r="M109" s="2">
        <v>15</v>
      </c>
      <c r="N109" s="2">
        <v>106</v>
      </c>
      <c r="O109" s="2">
        <v>8278</v>
      </c>
      <c r="P109" s="2" t="s">
        <v>27</v>
      </c>
      <c r="Q109" s="9">
        <f>Table2[[#This Row],[Room Booked]]*Table2[[#This Row],[Price]]</f>
        <v>124170</v>
      </c>
      <c r="R109" s="4">
        <v>89402.4</v>
      </c>
    </row>
    <row r="110" spans="1:18" x14ac:dyDescent="0.3">
      <c r="A110" s="2">
        <v>2022</v>
      </c>
      <c r="B110" s="2" t="s">
        <v>51</v>
      </c>
      <c r="C110" s="2" t="s">
        <v>59</v>
      </c>
      <c r="D110" s="2" t="s">
        <v>60</v>
      </c>
      <c r="E110" s="2" t="s">
        <v>99</v>
      </c>
      <c r="F110" s="2" t="s">
        <v>86</v>
      </c>
      <c r="G110" s="2">
        <v>27</v>
      </c>
      <c r="H110" s="2" t="s">
        <v>33</v>
      </c>
      <c r="I110" s="2" t="s">
        <v>41</v>
      </c>
      <c r="J110" s="3">
        <v>44824</v>
      </c>
      <c r="K110" s="2" t="s">
        <v>68</v>
      </c>
      <c r="L110" s="2" t="s">
        <v>43</v>
      </c>
      <c r="M110" s="2">
        <v>13</v>
      </c>
      <c r="N110" s="2">
        <v>107</v>
      </c>
      <c r="O110" s="2">
        <v>119616</v>
      </c>
      <c r="P110" s="2" t="s">
        <v>50</v>
      </c>
      <c r="Q110" s="9">
        <f>Table2[[#This Row],[Room Booked]]*Table2[[#This Row],[Price]]</f>
        <v>1555008</v>
      </c>
      <c r="R110" s="4">
        <v>11587.8</v>
      </c>
    </row>
    <row r="111" spans="1:18" x14ac:dyDescent="0.3">
      <c r="A111" s="2">
        <v>2022</v>
      </c>
      <c r="B111" s="2" t="s">
        <v>18</v>
      </c>
      <c r="C111" s="2" t="s">
        <v>59</v>
      </c>
      <c r="D111" s="2" t="s">
        <v>60</v>
      </c>
      <c r="E111" s="2" t="s">
        <v>100</v>
      </c>
      <c r="F111" s="2" t="s">
        <v>88</v>
      </c>
      <c r="G111" s="2">
        <v>46</v>
      </c>
      <c r="H111" s="2" t="s">
        <v>23</v>
      </c>
      <c r="I111" s="2" t="s">
        <v>41</v>
      </c>
      <c r="J111" s="3">
        <v>44576</v>
      </c>
      <c r="K111" s="2" t="s">
        <v>49</v>
      </c>
      <c r="L111" s="2" t="s">
        <v>34</v>
      </c>
      <c r="M111" s="2">
        <v>16</v>
      </c>
      <c r="N111" s="2">
        <v>99</v>
      </c>
      <c r="O111" s="2">
        <v>220104</v>
      </c>
      <c r="P111" s="2" t="s">
        <v>63</v>
      </c>
      <c r="Q111" s="9">
        <f>Table2[[#This Row],[Room Booked]]*Table2[[#This Row],[Price]]</f>
        <v>3521664</v>
      </c>
      <c r="R111" s="4">
        <v>104549.4</v>
      </c>
    </row>
    <row r="112" spans="1:18" x14ac:dyDescent="0.3">
      <c r="A112" s="2">
        <v>2022</v>
      </c>
      <c r="B112" s="2" t="s">
        <v>51</v>
      </c>
      <c r="C112" s="2" t="s">
        <v>59</v>
      </c>
      <c r="D112" s="2" t="s">
        <v>60</v>
      </c>
      <c r="E112" s="2" t="s">
        <v>100</v>
      </c>
      <c r="F112" s="2" t="s">
        <v>89</v>
      </c>
      <c r="G112" s="2">
        <v>58</v>
      </c>
      <c r="H112" s="2" t="s">
        <v>23</v>
      </c>
      <c r="I112" s="2" t="s">
        <v>24</v>
      </c>
      <c r="J112" s="3">
        <v>44811</v>
      </c>
      <c r="K112" s="2" t="s">
        <v>65</v>
      </c>
      <c r="L112" s="2" t="s">
        <v>34</v>
      </c>
      <c r="M112" s="2">
        <v>16</v>
      </c>
      <c r="N112" s="2">
        <v>119</v>
      </c>
      <c r="O112" s="2">
        <v>1683</v>
      </c>
      <c r="P112" s="2" t="s">
        <v>63</v>
      </c>
      <c r="Q112" s="9">
        <f>Table2[[#This Row],[Room Booked]]*Table2[[#This Row],[Price]]</f>
        <v>26928</v>
      </c>
      <c r="R112" s="4">
        <v>19691.099999999999</v>
      </c>
    </row>
    <row r="113" spans="1:18" x14ac:dyDescent="0.3">
      <c r="A113" s="2">
        <v>2022</v>
      </c>
      <c r="B113" s="2" t="s">
        <v>55</v>
      </c>
      <c r="C113" s="2" t="s">
        <v>94</v>
      </c>
      <c r="D113" s="2" t="s">
        <v>60</v>
      </c>
      <c r="E113" s="2" t="s">
        <v>100</v>
      </c>
      <c r="F113" s="2" t="s">
        <v>90</v>
      </c>
      <c r="G113" s="2">
        <v>54</v>
      </c>
      <c r="H113" s="2" t="s">
        <v>23</v>
      </c>
      <c r="I113" s="2" t="s">
        <v>41</v>
      </c>
      <c r="J113" s="3">
        <v>44776</v>
      </c>
      <c r="K113" s="2" t="s">
        <v>68</v>
      </c>
      <c r="L113" s="2" t="s">
        <v>43</v>
      </c>
      <c r="M113" s="2">
        <v>28</v>
      </c>
      <c r="N113" s="2">
        <v>123</v>
      </c>
      <c r="O113" s="2">
        <v>52768</v>
      </c>
      <c r="P113" s="2" t="s">
        <v>63</v>
      </c>
      <c r="Q113" s="9">
        <f>Table2[[#This Row],[Room Booked]]*Table2[[#This Row],[Price]]</f>
        <v>1477504</v>
      </c>
      <c r="R113" s="4">
        <v>117463.2</v>
      </c>
    </row>
    <row r="114" spans="1:18" x14ac:dyDescent="0.3">
      <c r="A114" s="2">
        <v>2023</v>
      </c>
      <c r="B114" s="2" t="s">
        <v>36</v>
      </c>
      <c r="C114" s="2" t="s">
        <v>94</v>
      </c>
      <c r="D114" s="2" t="s">
        <v>60</v>
      </c>
      <c r="E114" s="2" t="s">
        <v>100</v>
      </c>
      <c r="F114" s="2" t="s">
        <v>22</v>
      </c>
      <c r="G114" s="2">
        <v>68</v>
      </c>
      <c r="H114" s="2" t="s">
        <v>33</v>
      </c>
      <c r="I114" s="2" t="s">
        <v>24</v>
      </c>
      <c r="J114" s="3">
        <v>45099</v>
      </c>
      <c r="K114" s="2" t="s">
        <v>68</v>
      </c>
      <c r="L114" s="2" t="s">
        <v>26</v>
      </c>
      <c r="M114" s="2">
        <v>16</v>
      </c>
      <c r="N114" s="2">
        <v>99</v>
      </c>
      <c r="O114" s="2">
        <v>23616</v>
      </c>
      <c r="P114" s="2" t="s">
        <v>50</v>
      </c>
      <c r="Q114" s="9">
        <f>Table2[[#This Row],[Room Booked]]*Table2[[#This Row],[Price]]</f>
        <v>377856</v>
      </c>
      <c r="R114" s="4">
        <v>31350.3</v>
      </c>
    </row>
    <row r="115" spans="1:18" x14ac:dyDescent="0.3">
      <c r="A115" s="2">
        <v>2022</v>
      </c>
      <c r="B115" s="2" t="s">
        <v>36</v>
      </c>
      <c r="C115" s="2" t="s">
        <v>94</v>
      </c>
      <c r="D115" s="2" t="s">
        <v>60</v>
      </c>
      <c r="E115" s="2" t="s">
        <v>100</v>
      </c>
      <c r="F115" s="2" t="s">
        <v>32</v>
      </c>
      <c r="G115" s="2">
        <v>52</v>
      </c>
      <c r="H115" s="2" t="s">
        <v>33</v>
      </c>
      <c r="I115" s="2" t="s">
        <v>41</v>
      </c>
      <c r="J115" s="3">
        <v>44738</v>
      </c>
      <c r="K115" s="2" t="s">
        <v>46</v>
      </c>
      <c r="L115" s="2" t="s">
        <v>26</v>
      </c>
      <c r="M115" s="2">
        <v>15</v>
      </c>
      <c r="N115" s="2">
        <v>106</v>
      </c>
      <c r="O115" s="2">
        <v>8278</v>
      </c>
      <c r="P115" s="2" t="s">
        <v>27</v>
      </c>
      <c r="Q115" s="9">
        <f>Table2[[#This Row],[Room Booked]]*Table2[[#This Row],[Price]]</f>
        <v>124170</v>
      </c>
      <c r="R115" s="4">
        <v>89402.4</v>
      </c>
    </row>
    <row r="116" spans="1:18" x14ac:dyDescent="0.3">
      <c r="A116" s="2">
        <v>2022</v>
      </c>
      <c r="B116" s="2" t="s">
        <v>51</v>
      </c>
      <c r="C116" s="2" t="s">
        <v>59</v>
      </c>
      <c r="D116" s="2" t="s">
        <v>60</v>
      </c>
      <c r="E116" s="2" t="s">
        <v>100</v>
      </c>
      <c r="F116" s="2" t="s">
        <v>40</v>
      </c>
      <c r="G116" s="2">
        <v>27</v>
      </c>
      <c r="H116" s="2" t="s">
        <v>33</v>
      </c>
      <c r="I116" s="2" t="s">
        <v>41</v>
      </c>
      <c r="J116" s="3">
        <v>44824</v>
      </c>
      <c r="K116" s="2" t="s">
        <v>68</v>
      </c>
      <c r="L116" s="2" t="s">
        <v>43</v>
      </c>
      <c r="M116" s="2">
        <v>6</v>
      </c>
      <c r="N116" s="2">
        <v>107</v>
      </c>
      <c r="O116" s="2">
        <v>119616</v>
      </c>
      <c r="P116" s="2" t="s">
        <v>50</v>
      </c>
      <c r="Q116" s="9">
        <f>Table2[[#This Row],[Room Booked]]*Table2[[#This Row],[Price]]</f>
        <v>717696</v>
      </c>
      <c r="R116" s="4">
        <v>11587.8</v>
      </c>
    </row>
    <row r="117" spans="1:18" x14ac:dyDescent="0.3">
      <c r="A117" s="2">
        <v>2022</v>
      </c>
      <c r="B117" s="2" t="s">
        <v>18</v>
      </c>
      <c r="C117" s="2" t="s">
        <v>59</v>
      </c>
      <c r="D117" s="2" t="s">
        <v>60</v>
      </c>
      <c r="E117" s="2" t="s">
        <v>100</v>
      </c>
      <c r="F117" s="2" t="s">
        <v>45</v>
      </c>
      <c r="G117" s="2">
        <v>46</v>
      </c>
      <c r="H117" s="2" t="s">
        <v>23</v>
      </c>
      <c r="I117" s="2" t="s">
        <v>24</v>
      </c>
      <c r="J117" s="3">
        <v>44576</v>
      </c>
      <c r="K117" s="2" t="s">
        <v>49</v>
      </c>
      <c r="L117" s="2" t="s">
        <v>34</v>
      </c>
      <c r="M117" s="2">
        <v>16</v>
      </c>
      <c r="N117" s="2">
        <v>99</v>
      </c>
      <c r="O117" s="2">
        <v>220104</v>
      </c>
      <c r="P117" s="2" t="s">
        <v>63</v>
      </c>
      <c r="Q117" s="9">
        <f>Table2[[#This Row],[Room Booked]]*Table2[[#This Row],[Price]]</f>
        <v>3521664</v>
      </c>
      <c r="R117" s="4">
        <v>104549.4</v>
      </c>
    </row>
    <row r="118" spans="1:18" x14ac:dyDescent="0.3">
      <c r="A118" s="2">
        <v>2022</v>
      </c>
      <c r="B118" s="2" t="s">
        <v>51</v>
      </c>
      <c r="C118" s="2" t="s">
        <v>59</v>
      </c>
      <c r="D118" s="2" t="s">
        <v>60</v>
      </c>
      <c r="E118" s="2" t="s">
        <v>100</v>
      </c>
      <c r="F118" s="2" t="s">
        <v>48</v>
      </c>
      <c r="G118" s="2">
        <v>58</v>
      </c>
      <c r="H118" s="2" t="s">
        <v>23</v>
      </c>
      <c r="I118" s="2" t="s">
        <v>41</v>
      </c>
      <c r="J118" s="3">
        <v>44811</v>
      </c>
      <c r="K118" s="2" t="s">
        <v>65</v>
      </c>
      <c r="L118" s="2" t="s">
        <v>34</v>
      </c>
      <c r="M118" s="2">
        <v>16</v>
      </c>
      <c r="N118" s="2">
        <v>119</v>
      </c>
      <c r="O118" s="2">
        <v>1683</v>
      </c>
      <c r="P118" s="2" t="s">
        <v>63</v>
      </c>
      <c r="Q118" s="9">
        <f>Table2[[#This Row],[Room Booked]]*Table2[[#This Row],[Price]]</f>
        <v>26928</v>
      </c>
      <c r="R118" s="4">
        <v>19691.099999999999</v>
      </c>
    </row>
    <row r="119" spans="1:18" x14ac:dyDescent="0.3">
      <c r="A119" s="2">
        <v>2022</v>
      </c>
      <c r="B119" s="2" t="s">
        <v>55</v>
      </c>
      <c r="C119" s="2" t="s">
        <v>94</v>
      </c>
      <c r="D119" s="2" t="s">
        <v>60</v>
      </c>
      <c r="E119" s="2" t="s">
        <v>100</v>
      </c>
      <c r="F119" s="2" t="s">
        <v>52</v>
      </c>
      <c r="G119" s="2">
        <v>54</v>
      </c>
      <c r="H119" s="2" t="s">
        <v>23</v>
      </c>
      <c r="I119" s="2" t="s">
        <v>41</v>
      </c>
      <c r="J119" s="3">
        <v>44776</v>
      </c>
      <c r="K119" s="2" t="s">
        <v>68</v>
      </c>
      <c r="L119" s="2" t="s">
        <v>43</v>
      </c>
      <c r="M119" s="2">
        <v>28</v>
      </c>
      <c r="N119" s="2">
        <v>123</v>
      </c>
      <c r="O119" s="2">
        <v>252768</v>
      </c>
      <c r="P119" s="2" t="s">
        <v>63</v>
      </c>
      <c r="Q119" s="9">
        <f>Table2[[#This Row],[Room Booked]]*Table2[[#This Row],[Price]]</f>
        <v>7077504</v>
      </c>
      <c r="R119" s="4">
        <v>117463.2</v>
      </c>
    </row>
    <row r="120" spans="1:18" x14ac:dyDescent="0.3">
      <c r="A120" s="2">
        <v>2023</v>
      </c>
      <c r="B120" s="2" t="s">
        <v>36</v>
      </c>
      <c r="C120" s="2" t="s">
        <v>94</v>
      </c>
      <c r="D120" s="2" t="s">
        <v>60</v>
      </c>
      <c r="E120" s="2" t="s">
        <v>100</v>
      </c>
      <c r="F120" s="2" t="s">
        <v>54</v>
      </c>
      <c r="G120" s="2">
        <v>68</v>
      </c>
      <c r="H120" s="2" t="s">
        <v>33</v>
      </c>
      <c r="I120" s="2" t="s">
        <v>24</v>
      </c>
      <c r="J120" s="3">
        <v>45099</v>
      </c>
      <c r="K120" s="2" t="s">
        <v>68</v>
      </c>
      <c r="L120" s="2" t="s">
        <v>26</v>
      </c>
      <c r="M120" s="2">
        <v>28</v>
      </c>
      <c r="N120" s="2">
        <v>99</v>
      </c>
      <c r="O120" s="2">
        <v>223616</v>
      </c>
      <c r="P120" s="2" t="s">
        <v>50</v>
      </c>
      <c r="Q120" s="9">
        <f>Table2[[#This Row],[Room Booked]]*Table2[[#This Row],[Price]]</f>
        <v>6261248</v>
      </c>
      <c r="R120" s="4">
        <v>31350.3</v>
      </c>
    </row>
    <row r="121" spans="1:18" x14ac:dyDescent="0.3">
      <c r="A121" s="2">
        <v>2022</v>
      </c>
      <c r="B121" s="2" t="s">
        <v>36</v>
      </c>
      <c r="C121" s="2" t="s">
        <v>94</v>
      </c>
      <c r="D121" s="2" t="s">
        <v>60</v>
      </c>
      <c r="E121" s="2" t="s">
        <v>100</v>
      </c>
      <c r="F121" s="2" t="s">
        <v>56</v>
      </c>
      <c r="G121" s="2">
        <v>52</v>
      </c>
      <c r="H121" s="2" t="s">
        <v>33</v>
      </c>
      <c r="I121" s="2" t="s">
        <v>24</v>
      </c>
      <c r="J121" s="3">
        <v>44738</v>
      </c>
      <c r="K121" s="2" t="s">
        <v>46</v>
      </c>
      <c r="L121" s="2" t="s">
        <v>26</v>
      </c>
      <c r="M121" s="2">
        <v>15</v>
      </c>
      <c r="N121" s="2">
        <v>106</v>
      </c>
      <c r="O121" s="2">
        <v>8278</v>
      </c>
      <c r="P121" s="2" t="s">
        <v>27</v>
      </c>
      <c r="Q121" s="9">
        <f>Table2[[#This Row],[Room Booked]]*Table2[[#This Row],[Price]]</f>
        <v>124170</v>
      </c>
      <c r="R121" s="4">
        <v>89402.4</v>
      </c>
    </row>
    <row r="122" spans="1:18" x14ac:dyDescent="0.3">
      <c r="A122" s="2">
        <v>2022</v>
      </c>
      <c r="B122" s="2" t="s">
        <v>51</v>
      </c>
      <c r="C122" s="2" t="s">
        <v>59</v>
      </c>
      <c r="D122" s="2" t="s">
        <v>60</v>
      </c>
      <c r="E122" s="2" t="s">
        <v>100</v>
      </c>
      <c r="F122" s="2" t="s">
        <v>58</v>
      </c>
      <c r="G122" s="2">
        <v>27</v>
      </c>
      <c r="H122" s="2" t="s">
        <v>33</v>
      </c>
      <c r="I122" s="2" t="s">
        <v>24</v>
      </c>
      <c r="J122" s="3">
        <v>44824</v>
      </c>
      <c r="K122" s="2" t="s">
        <v>68</v>
      </c>
      <c r="L122" s="2" t="s">
        <v>43</v>
      </c>
      <c r="M122" s="2">
        <v>12</v>
      </c>
      <c r="N122" s="2">
        <v>107</v>
      </c>
      <c r="O122" s="2">
        <v>119616</v>
      </c>
      <c r="P122" s="2" t="s">
        <v>50</v>
      </c>
      <c r="Q122" s="9">
        <f>Table2[[#This Row],[Room Booked]]*Table2[[#This Row],[Price]]</f>
        <v>1435392</v>
      </c>
      <c r="R122" s="4">
        <v>11587.8</v>
      </c>
    </row>
    <row r="123" spans="1:18" x14ac:dyDescent="0.3">
      <c r="A123" s="2">
        <v>2022</v>
      </c>
      <c r="B123" s="2" t="s">
        <v>28</v>
      </c>
      <c r="C123" s="2" t="s">
        <v>29</v>
      </c>
      <c r="D123" s="2" t="s">
        <v>30</v>
      </c>
      <c r="E123" s="2" t="s">
        <v>101</v>
      </c>
      <c r="F123" s="2" t="s">
        <v>62</v>
      </c>
      <c r="G123" s="2">
        <v>21</v>
      </c>
      <c r="H123" s="2" t="s">
        <v>33</v>
      </c>
      <c r="I123" s="2" t="s">
        <v>24</v>
      </c>
      <c r="J123" s="3">
        <v>44674</v>
      </c>
      <c r="K123" s="2" t="s">
        <v>25</v>
      </c>
      <c r="L123" s="2" t="s">
        <v>34</v>
      </c>
      <c r="M123" s="2">
        <v>26</v>
      </c>
      <c r="N123" s="2">
        <v>106</v>
      </c>
      <c r="O123" s="2">
        <v>3928</v>
      </c>
      <c r="P123" s="2" t="s">
        <v>35</v>
      </c>
      <c r="Q123" s="9">
        <f>Table2[[#This Row],[Room Booked]]*Table2[[#This Row],[Price]]</f>
        <v>102128</v>
      </c>
      <c r="R123" s="4">
        <v>44779.199999999997</v>
      </c>
    </row>
    <row r="124" spans="1:18" x14ac:dyDescent="0.3">
      <c r="A124" s="2">
        <v>2022</v>
      </c>
      <c r="B124" s="2" t="s">
        <v>47</v>
      </c>
      <c r="C124" s="2" t="s">
        <v>29</v>
      </c>
      <c r="D124" s="2" t="s">
        <v>30</v>
      </c>
      <c r="E124" s="2" t="s">
        <v>101</v>
      </c>
      <c r="F124" s="2" t="s">
        <v>64</v>
      </c>
      <c r="G124" s="2">
        <v>56</v>
      </c>
      <c r="H124" s="2" t="s">
        <v>23</v>
      </c>
      <c r="I124" s="2" t="s">
        <v>24</v>
      </c>
      <c r="J124" s="3">
        <v>44914</v>
      </c>
      <c r="K124" s="2" t="s">
        <v>49</v>
      </c>
      <c r="L124" s="2" t="s">
        <v>34</v>
      </c>
      <c r="M124" s="2">
        <v>47</v>
      </c>
      <c r="N124" s="2">
        <v>121</v>
      </c>
      <c r="O124" s="2">
        <v>173568</v>
      </c>
      <c r="P124" s="2" t="s">
        <v>50</v>
      </c>
      <c r="Q124" s="9">
        <f>Table2[[#This Row],[Room Booked]]*Table2[[#This Row],[Price]]</f>
        <v>8157696</v>
      </c>
      <c r="R124" s="4">
        <v>197433.60000000001</v>
      </c>
    </row>
    <row r="125" spans="1:18" x14ac:dyDescent="0.3">
      <c r="A125" s="2">
        <v>2022</v>
      </c>
      <c r="B125" s="2" t="s">
        <v>55</v>
      </c>
      <c r="C125" s="2" t="s">
        <v>29</v>
      </c>
      <c r="D125" s="2" t="s">
        <v>30</v>
      </c>
      <c r="E125" s="2" t="s">
        <v>101</v>
      </c>
      <c r="F125" s="2" t="s">
        <v>66</v>
      </c>
      <c r="G125" s="2">
        <v>22</v>
      </c>
      <c r="H125" s="2" t="s">
        <v>33</v>
      </c>
      <c r="I125" s="2" t="s">
        <v>24</v>
      </c>
      <c r="J125" s="3">
        <v>44782</v>
      </c>
      <c r="K125" s="2" t="s">
        <v>42</v>
      </c>
      <c r="L125" s="2" t="s">
        <v>26</v>
      </c>
      <c r="M125" s="2">
        <v>38</v>
      </c>
      <c r="N125" s="2">
        <v>105</v>
      </c>
      <c r="O125" s="2">
        <v>35248</v>
      </c>
      <c r="P125" s="2" t="s">
        <v>35</v>
      </c>
      <c r="Q125" s="9">
        <f>Table2[[#This Row],[Room Booked]]*Table2[[#This Row],[Price]]</f>
        <v>1339424</v>
      </c>
      <c r="R125" s="4">
        <v>91204.2</v>
      </c>
    </row>
    <row r="126" spans="1:18" x14ac:dyDescent="0.3">
      <c r="A126" s="2">
        <v>2023</v>
      </c>
      <c r="B126" s="2" t="s">
        <v>36</v>
      </c>
      <c r="C126" s="2" t="s">
        <v>29</v>
      </c>
      <c r="D126" s="2" t="s">
        <v>30</v>
      </c>
      <c r="E126" s="2" t="s">
        <v>101</v>
      </c>
      <c r="F126" s="2" t="s">
        <v>67</v>
      </c>
      <c r="G126" s="2">
        <v>35</v>
      </c>
      <c r="H126" s="2" t="s">
        <v>33</v>
      </c>
      <c r="I126" s="2" t="s">
        <v>24</v>
      </c>
      <c r="J126" s="3">
        <v>45095</v>
      </c>
      <c r="K126" s="2" t="s">
        <v>68</v>
      </c>
      <c r="L126" s="2" t="s">
        <v>26</v>
      </c>
      <c r="M126" s="2">
        <v>27</v>
      </c>
      <c r="N126" s="2">
        <v>109</v>
      </c>
      <c r="O126" s="2">
        <v>76704</v>
      </c>
      <c r="P126" s="2" t="s">
        <v>50</v>
      </c>
      <c r="Q126" s="9">
        <f>Table2[[#This Row],[Room Booked]]*Table2[[#This Row],[Price]]</f>
        <v>2071008</v>
      </c>
      <c r="R126" s="4">
        <v>86702.7</v>
      </c>
    </row>
    <row r="127" spans="1:18" x14ac:dyDescent="0.3">
      <c r="A127" s="2">
        <v>2022</v>
      </c>
      <c r="B127" s="2" t="s">
        <v>69</v>
      </c>
      <c r="C127" s="2" t="s">
        <v>29</v>
      </c>
      <c r="D127" s="2" t="s">
        <v>30</v>
      </c>
      <c r="E127" s="2" t="s">
        <v>101</v>
      </c>
      <c r="F127" s="2" t="s">
        <v>73</v>
      </c>
      <c r="G127" s="2">
        <v>20</v>
      </c>
      <c r="H127" s="2" t="s">
        <v>33</v>
      </c>
      <c r="I127" s="2" t="s">
        <v>24</v>
      </c>
      <c r="J127" s="3">
        <v>44866</v>
      </c>
      <c r="K127" s="2" t="s">
        <v>46</v>
      </c>
      <c r="L127" s="2" t="s">
        <v>34</v>
      </c>
      <c r="M127" s="2">
        <v>19</v>
      </c>
      <c r="N127" s="2">
        <v>125</v>
      </c>
      <c r="O127" s="2">
        <v>7364</v>
      </c>
      <c r="P127" s="2" t="s">
        <v>27</v>
      </c>
      <c r="Q127" s="9">
        <f>Table2[[#This Row],[Room Booked]]*Table2[[#This Row],[Price]]</f>
        <v>139916</v>
      </c>
      <c r="R127" s="4">
        <v>46393.2</v>
      </c>
    </row>
    <row r="128" spans="1:18" x14ac:dyDescent="0.3">
      <c r="A128" s="2">
        <v>2022</v>
      </c>
      <c r="B128" s="2" t="s">
        <v>28</v>
      </c>
      <c r="C128" s="2" t="s">
        <v>29</v>
      </c>
      <c r="D128" s="2" t="s">
        <v>30</v>
      </c>
      <c r="E128" s="2" t="s">
        <v>101</v>
      </c>
      <c r="F128" s="2" t="s">
        <v>74</v>
      </c>
      <c r="G128" s="2">
        <v>21</v>
      </c>
      <c r="H128" s="2" t="s">
        <v>33</v>
      </c>
      <c r="I128" s="2" t="s">
        <v>24</v>
      </c>
      <c r="J128" s="3">
        <v>44674</v>
      </c>
      <c r="K128" s="2" t="s">
        <v>25</v>
      </c>
      <c r="L128" s="2" t="s">
        <v>34</v>
      </c>
      <c r="M128" s="2">
        <v>26</v>
      </c>
      <c r="N128" s="2">
        <v>106</v>
      </c>
      <c r="O128" s="2">
        <v>3928</v>
      </c>
      <c r="P128" s="2" t="s">
        <v>35</v>
      </c>
      <c r="Q128" s="9">
        <f>Table2[[#This Row],[Room Booked]]*Table2[[#This Row],[Price]]</f>
        <v>102128</v>
      </c>
      <c r="R128" s="4">
        <v>44779.199999999997</v>
      </c>
    </row>
    <row r="129" spans="1:18" x14ac:dyDescent="0.3">
      <c r="A129" s="2">
        <v>2022</v>
      </c>
      <c r="B129" s="2" t="s">
        <v>47</v>
      </c>
      <c r="C129" s="2" t="s">
        <v>29</v>
      </c>
      <c r="D129" s="2" t="s">
        <v>30</v>
      </c>
      <c r="E129" s="2" t="s">
        <v>101</v>
      </c>
      <c r="F129" s="2" t="s">
        <v>75</v>
      </c>
      <c r="G129" s="2">
        <v>56</v>
      </c>
      <c r="H129" s="2" t="s">
        <v>23</v>
      </c>
      <c r="I129" s="2" t="s">
        <v>24</v>
      </c>
      <c r="J129" s="3">
        <v>44914</v>
      </c>
      <c r="K129" s="2" t="s">
        <v>49</v>
      </c>
      <c r="L129" s="2" t="s">
        <v>34</v>
      </c>
      <c r="M129" s="2">
        <v>47</v>
      </c>
      <c r="N129" s="2">
        <v>121</v>
      </c>
      <c r="O129" s="2">
        <v>173568</v>
      </c>
      <c r="P129" s="2" t="s">
        <v>50</v>
      </c>
      <c r="Q129" s="9">
        <f>Table2[[#This Row],[Room Booked]]*Table2[[#This Row],[Price]]</f>
        <v>8157696</v>
      </c>
      <c r="R129" s="4">
        <v>197433.60000000001</v>
      </c>
    </row>
    <row r="130" spans="1:18" x14ac:dyDescent="0.3">
      <c r="A130" s="2">
        <v>2022</v>
      </c>
      <c r="B130" s="2" t="s">
        <v>55</v>
      </c>
      <c r="C130" s="2" t="s">
        <v>29</v>
      </c>
      <c r="D130" s="2" t="s">
        <v>30</v>
      </c>
      <c r="E130" s="2" t="s">
        <v>101</v>
      </c>
      <c r="F130" s="2" t="s">
        <v>77</v>
      </c>
      <c r="G130" s="2">
        <v>22</v>
      </c>
      <c r="H130" s="2" t="s">
        <v>33</v>
      </c>
      <c r="I130" s="2" t="s">
        <v>41</v>
      </c>
      <c r="J130" s="3">
        <v>44782</v>
      </c>
      <c r="K130" s="2" t="s">
        <v>42</v>
      </c>
      <c r="L130" s="2" t="s">
        <v>26</v>
      </c>
      <c r="M130" s="2">
        <v>38</v>
      </c>
      <c r="N130" s="2">
        <v>105</v>
      </c>
      <c r="O130" s="2">
        <v>35248</v>
      </c>
      <c r="P130" s="2" t="s">
        <v>35</v>
      </c>
      <c r="Q130" s="9">
        <f>Table2[[#This Row],[Room Booked]]*Table2[[#This Row],[Price]]</f>
        <v>1339424</v>
      </c>
      <c r="R130" s="4">
        <v>91204.2</v>
      </c>
    </row>
    <row r="131" spans="1:18" x14ac:dyDescent="0.3">
      <c r="A131" s="2">
        <v>2023</v>
      </c>
      <c r="B131" s="2" t="s">
        <v>36</v>
      </c>
      <c r="C131" s="2" t="s">
        <v>29</v>
      </c>
      <c r="D131" s="2" t="s">
        <v>30</v>
      </c>
      <c r="E131" s="2" t="s">
        <v>101</v>
      </c>
      <c r="F131" s="2" t="s">
        <v>78</v>
      </c>
      <c r="G131" s="2">
        <v>35</v>
      </c>
      <c r="H131" s="2" t="s">
        <v>33</v>
      </c>
      <c r="I131" s="2" t="s">
        <v>41</v>
      </c>
      <c r="J131" s="3">
        <v>45095</v>
      </c>
      <c r="K131" s="2" t="s">
        <v>68</v>
      </c>
      <c r="L131" s="2" t="s">
        <v>26</v>
      </c>
      <c r="M131" s="2">
        <v>27</v>
      </c>
      <c r="N131" s="2">
        <v>109</v>
      </c>
      <c r="O131" s="2">
        <v>76704</v>
      </c>
      <c r="P131" s="2" t="s">
        <v>50</v>
      </c>
      <c r="Q131" s="9">
        <f>Table2[[#This Row],[Room Booked]]*Table2[[#This Row],[Price]]</f>
        <v>2071008</v>
      </c>
      <c r="R131" s="4">
        <v>86702.7</v>
      </c>
    </row>
    <row r="132" spans="1:18" x14ac:dyDescent="0.3">
      <c r="A132" s="2">
        <v>2022</v>
      </c>
      <c r="B132" s="2" t="s">
        <v>69</v>
      </c>
      <c r="C132" s="2" t="s">
        <v>29</v>
      </c>
      <c r="D132" s="2" t="s">
        <v>30</v>
      </c>
      <c r="E132" s="2" t="s">
        <v>101</v>
      </c>
      <c r="F132" s="2" t="s">
        <v>79</v>
      </c>
      <c r="G132" s="2">
        <v>20</v>
      </c>
      <c r="H132" s="2" t="s">
        <v>33</v>
      </c>
      <c r="I132" s="2" t="s">
        <v>24</v>
      </c>
      <c r="J132" s="3">
        <v>44866</v>
      </c>
      <c r="K132" s="2" t="s">
        <v>46</v>
      </c>
      <c r="L132" s="2" t="s">
        <v>34</v>
      </c>
      <c r="M132" s="2">
        <v>19</v>
      </c>
      <c r="N132" s="2">
        <v>125</v>
      </c>
      <c r="O132" s="2">
        <v>7364</v>
      </c>
      <c r="P132" s="2" t="s">
        <v>27</v>
      </c>
      <c r="Q132" s="9">
        <f>Table2[[#This Row],[Room Booked]]*Table2[[#This Row],[Price]]</f>
        <v>139916</v>
      </c>
      <c r="R132" s="4">
        <v>46393.2</v>
      </c>
    </row>
    <row r="133" spans="1:18" x14ac:dyDescent="0.3">
      <c r="A133" s="2">
        <v>2022</v>
      </c>
      <c r="B133" s="2" t="s">
        <v>95</v>
      </c>
      <c r="C133" s="2" t="s">
        <v>19</v>
      </c>
      <c r="D133" s="2" t="s">
        <v>20</v>
      </c>
      <c r="E133" s="2" t="s">
        <v>21</v>
      </c>
      <c r="F133" s="2" t="s">
        <v>22</v>
      </c>
      <c r="G133" s="2">
        <v>37</v>
      </c>
      <c r="H133" s="2" t="s">
        <v>23</v>
      </c>
      <c r="I133" s="2" t="s">
        <v>24</v>
      </c>
      <c r="J133" s="3">
        <v>44601</v>
      </c>
      <c r="K133" s="2" t="s">
        <v>25</v>
      </c>
      <c r="L133" s="2" t="s">
        <v>26</v>
      </c>
      <c r="M133" s="2">
        <v>16</v>
      </c>
      <c r="N133" s="2">
        <v>99</v>
      </c>
      <c r="O133" s="2">
        <v>4867</v>
      </c>
      <c r="P133" s="2" t="s">
        <v>27</v>
      </c>
      <c r="Q133" s="9">
        <v>43803</v>
      </c>
      <c r="R133" s="4">
        <v>32122.199999999997</v>
      </c>
    </row>
    <row r="134" spans="1:18" x14ac:dyDescent="0.3">
      <c r="A134" s="2">
        <v>2022</v>
      </c>
      <c r="B134" s="2" t="s">
        <v>95</v>
      </c>
      <c r="C134" s="2" t="s">
        <v>59</v>
      </c>
      <c r="D134" s="2" t="s">
        <v>60</v>
      </c>
      <c r="E134" s="2" t="s">
        <v>61</v>
      </c>
      <c r="F134" s="2" t="s">
        <v>62</v>
      </c>
      <c r="G134" s="2">
        <v>46</v>
      </c>
      <c r="H134" s="2" t="s">
        <v>23</v>
      </c>
      <c r="I134" s="2" t="s">
        <v>41</v>
      </c>
      <c r="J134" s="3">
        <v>44607</v>
      </c>
      <c r="K134" s="2" t="s">
        <v>49</v>
      </c>
      <c r="L134" s="2" t="s">
        <v>34</v>
      </c>
      <c r="M134" s="2">
        <v>16</v>
      </c>
      <c r="N134" s="2">
        <v>99</v>
      </c>
      <c r="O134" s="2">
        <v>20104</v>
      </c>
      <c r="P134" s="2" t="s">
        <v>63</v>
      </c>
      <c r="Q134" s="9">
        <v>321664</v>
      </c>
      <c r="R134" s="4">
        <v>104549.4</v>
      </c>
    </row>
    <row r="135" spans="1:18" x14ac:dyDescent="0.3">
      <c r="A135" s="2">
        <v>2022</v>
      </c>
      <c r="B135" s="2" t="s">
        <v>95</v>
      </c>
      <c r="C135" s="2" t="s">
        <v>70</v>
      </c>
      <c r="D135" s="2" t="s">
        <v>71</v>
      </c>
      <c r="E135" s="2" t="s">
        <v>72</v>
      </c>
      <c r="F135" s="2" t="s">
        <v>84</v>
      </c>
      <c r="G135" s="2">
        <v>21</v>
      </c>
      <c r="H135" s="2" t="s">
        <v>23</v>
      </c>
      <c r="I135" s="2" t="s">
        <v>24</v>
      </c>
      <c r="J135" s="3">
        <v>44617</v>
      </c>
      <c r="K135" s="2" t="s">
        <v>49</v>
      </c>
      <c r="L135" s="2" t="s">
        <v>26</v>
      </c>
      <c r="M135" s="2">
        <v>38</v>
      </c>
      <c r="N135" s="2">
        <v>92</v>
      </c>
      <c r="O135" s="2">
        <v>6456</v>
      </c>
      <c r="P135" s="2" t="s">
        <v>50</v>
      </c>
      <c r="Q135" s="9">
        <v>245328</v>
      </c>
      <c r="R135" s="4">
        <v>216755.1</v>
      </c>
    </row>
    <row r="136" spans="1:18" x14ac:dyDescent="0.3">
      <c r="A136" s="2">
        <v>2022</v>
      </c>
      <c r="B136" s="2" t="s">
        <v>95</v>
      </c>
      <c r="C136" s="2" t="s">
        <v>37</v>
      </c>
      <c r="D136" s="2" t="s">
        <v>38</v>
      </c>
      <c r="E136" s="2" t="s">
        <v>39</v>
      </c>
      <c r="F136" s="2" t="s">
        <v>54</v>
      </c>
      <c r="G136" s="2">
        <v>68</v>
      </c>
      <c r="H136" s="2" t="s">
        <v>33</v>
      </c>
      <c r="I136" s="2" t="s">
        <v>24</v>
      </c>
      <c r="J136" s="3">
        <v>44615</v>
      </c>
      <c r="K136" s="2" t="s">
        <v>80</v>
      </c>
      <c r="L136" s="2" t="s">
        <v>43</v>
      </c>
      <c r="M136" s="2">
        <v>76</v>
      </c>
      <c r="N136" s="2">
        <v>110</v>
      </c>
      <c r="O136" s="2">
        <v>161408</v>
      </c>
      <c r="P136" s="2" t="s">
        <v>27</v>
      </c>
      <c r="Q136" s="9">
        <v>12267008</v>
      </c>
      <c r="R136" s="4">
        <v>43882.799999999996</v>
      </c>
    </row>
    <row r="137" spans="1:18" x14ac:dyDescent="0.3">
      <c r="A137" s="2">
        <v>2022</v>
      </c>
      <c r="B137" s="2" t="s">
        <v>95</v>
      </c>
      <c r="C137" s="2" t="s">
        <v>37</v>
      </c>
      <c r="D137" s="2" t="s">
        <v>38</v>
      </c>
      <c r="E137" s="2" t="s">
        <v>96</v>
      </c>
      <c r="F137" s="2" t="s">
        <v>83</v>
      </c>
      <c r="G137" s="2">
        <v>49</v>
      </c>
      <c r="H137" s="2" t="s">
        <v>33</v>
      </c>
      <c r="I137" s="2" t="s">
        <v>24</v>
      </c>
      <c r="J137" s="3">
        <v>44615</v>
      </c>
      <c r="K137" s="2" t="s">
        <v>80</v>
      </c>
      <c r="L137" s="2" t="s">
        <v>43</v>
      </c>
      <c r="M137" s="2">
        <v>37</v>
      </c>
      <c r="N137" s="2">
        <v>110</v>
      </c>
      <c r="O137" s="2">
        <v>161408</v>
      </c>
      <c r="P137" s="2" t="s">
        <v>27</v>
      </c>
      <c r="Q137" s="9">
        <v>5972096</v>
      </c>
      <c r="R137" s="4">
        <v>43882.799999999996</v>
      </c>
    </row>
    <row r="138" spans="1:18" x14ac:dyDescent="0.3">
      <c r="A138" s="2">
        <v>2022</v>
      </c>
      <c r="B138" s="2" t="s">
        <v>95</v>
      </c>
      <c r="C138" s="2" t="s">
        <v>59</v>
      </c>
      <c r="D138" s="2" t="s">
        <v>92</v>
      </c>
      <c r="E138" s="2" t="s">
        <v>98</v>
      </c>
      <c r="F138" s="2" t="s">
        <v>64</v>
      </c>
      <c r="G138" s="2">
        <v>46</v>
      </c>
      <c r="H138" s="2" t="s">
        <v>23</v>
      </c>
      <c r="I138" s="2" t="s">
        <v>24</v>
      </c>
      <c r="J138" s="3">
        <v>44607</v>
      </c>
      <c r="K138" s="2" t="s">
        <v>49</v>
      </c>
      <c r="L138" s="2" t="s">
        <v>34</v>
      </c>
      <c r="M138" s="2">
        <v>16</v>
      </c>
      <c r="N138" s="2">
        <v>99</v>
      </c>
      <c r="O138" s="2">
        <v>220104</v>
      </c>
      <c r="P138" s="2" t="s">
        <v>63</v>
      </c>
      <c r="Q138" s="9">
        <v>3521664</v>
      </c>
      <c r="R138" s="4">
        <v>104549.4</v>
      </c>
    </row>
    <row r="139" spans="1:18" x14ac:dyDescent="0.3">
      <c r="A139" s="2">
        <v>2022</v>
      </c>
      <c r="B139" s="2" t="s">
        <v>95</v>
      </c>
      <c r="C139" s="2" t="s">
        <v>59</v>
      </c>
      <c r="D139" s="2" t="s">
        <v>60</v>
      </c>
      <c r="E139" s="2" t="s">
        <v>99</v>
      </c>
      <c r="F139" s="2" t="s">
        <v>81</v>
      </c>
      <c r="G139" s="2">
        <v>46</v>
      </c>
      <c r="H139" s="2" t="s">
        <v>23</v>
      </c>
      <c r="I139" s="2" t="s">
        <v>41</v>
      </c>
      <c r="J139" s="3">
        <v>44607</v>
      </c>
      <c r="K139" s="2" t="s">
        <v>49</v>
      </c>
      <c r="L139" s="2" t="s">
        <v>34</v>
      </c>
      <c r="M139" s="2">
        <v>8</v>
      </c>
      <c r="N139" s="2">
        <v>99</v>
      </c>
      <c r="O139" s="2">
        <v>220104</v>
      </c>
      <c r="P139" s="2" t="s">
        <v>63</v>
      </c>
      <c r="Q139" s="9">
        <v>1760832</v>
      </c>
      <c r="R139" s="4">
        <v>104549.4</v>
      </c>
    </row>
    <row r="140" spans="1:18" x14ac:dyDescent="0.3">
      <c r="A140" s="2">
        <v>2022</v>
      </c>
      <c r="B140" s="2" t="s">
        <v>95</v>
      </c>
      <c r="C140" s="2" t="s">
        <v>59</v>
      </c>
      <c r="D140" s="2" t="s">
        <v>60</v>
      </c>
      <c r="E140" s="2" t="s">
        <v>100</v>
      </c>
      <c r="F140" s="2" t="s">
        <v>88</v>
      </c>
      <c r="G140" s="2">
        <v>46</v>
      </c>
      <c r="H140" s="2" t="s">
        <v>23</v>
      </c>
      <c r="I140" s="2" t="s">
        <v>41</v>
      </c>
      <c r="J140" s="3">
        <v>44607</v>
      </c>
      <c r="K140" s="2" t="s">
        <v>49</v>
      </c>
      <c r="L140" s="2" t="s">
        <v>34</v>
      </c>
      <c r="M140" s="2">
        <v>16</v>
      </c>
      <c r="N140" s="2">
        <v>99</v>
      </c>
      <c r="O140" s="2">
        <v>220104</v>
      </c>
      <c r="P140" s="2" t="s">
        <v>63</v>
      </c>
      <c r="Q140" s="9">
        <v>3521664</v>
      </c>
      <c r="R140" s="4">
        <v>104549.4</v>
      </c>
    </row>
    <row r="141" spans="1:18" x14ac:dyDescent="0.3">
      <c r="A141" s="2">
        <v>2022</v>
      </c>
      <c r="B141" s="2" t="s">
        <v>95</v>
      </c>
      <c r="C141" s="2" t="s">
        <v>59</v>
      </c>
      <c r="D141" s="2" t="s">
        <v>60</v>
      </c>
      <c r="E141" s="2" t="s">
        <v>100</v>
      </c>
      <c r="F141" s="2" t="s">
        <v>45</v>
      </c>
      <c r="G141" s="2">
        <v>46</v>
      </c>
      <c r="H141" s="2" t="s">
        <v>23</v>
      </c>
      <c r="I141" s="2" t="s">
        <v>24</v>
      </c>
      <c r="J141" s="3">
        <v>44607</v>
      </c>
      <c r="K141" s="2" t="s">
        <v>49</v>
      </c>
      <c r="L141" s="2" t="s">
        <v>34</v>
      </c>
      <c r="M141" s="2">
        <v>16</v>
      </c>
      <c r="N141" s="2">
        <v>99</v>
      </c>
      <c r="O141" s="2">
        <v>220104</v>
      </c>
      <c r="P141" s="2" t="s">
        <v>63</v>
      </c>
      <c r="Q141" s="9">
        <v>3521664</v>
      </c>
      <c r="R141" s="4">
        <v>104549.4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841B5B-7E82-43BC-AFF6-2F7FB7271FBE}">
  <dimension ref="A3:V52"/>
  <sheetViews>
    <sheetView showGridLines="0" workbookViewId="0">
      <selection activeCell="K20" sqref="K20"/>
    </sheetView>
  </sheetViews>
  <sheetFormatPr defaultRowHeight="14.4" x14ac:dyDescent="0.3"/>
  <cols>
    <col min="1" max="1" width="18.5546875" bestFit="1" customWidth="1"/>
    <col min="2" max="2" width="20.109375" bestFit="1" customWidth="1"/>
    <col min="3" max="6" width="15.5546875" bestFit="1" customWidth="1"/>
    <col min="7" max="7" width="18" bestFit="1" customWidth="1"/>
    <col min="8" max="8" width="18.5546875" bestFit="1" customWidth="1"/>
    <col min="9" max="9" width="18.21875" bestFit="1" customWidth="1"/>
    <col min="10" max="11" width="15.5546875" bestFit="1" customWidth="1"/>
    <col min="12" max="12" width="13.109375" bestFit="1" customWidth="1"/>
    <col min="13" max="13" width="18.5546875" bestFit="1" customWidth="1"/>
    <col min="14" max="16" width="15.5546875" bestFit="1" customWidth="1"/>
    <col min="17" max="17" width="13.109375" bestFit="1" customWidth="1"/>
    <col min="18" max="18" width="18.5546875" bestFit="1" customWidth="1"/>
    <col min="19" max="19" width="15.5546875" bestFit="1" customWidth="1"/>
    <col min="20" max="20" width="13.109375" bestFit="1" customWidth="1"/>
    <col min="21" max="21" width="18.5546875" bestFit="1" customWidth="1"/>
    <col min="22" max="22" width="20.109375" bestFit="1" customWidth="1"/>
    <col min="23" max="28" width="15.5546875" bestFit="1" customWidth="1"/>
    <col min="29" max="29" width="10.5546875" bestFit="1" customWidth="1"/>
    <col min="30" max="38" width="4" bestFit="1" customWidth="1"/>
    <col min="39" max="39" width="10.5546875" bestFit="1" customWidth="1"/>
  </cols>
  <sheetData>
    <row r="3" spans="1:22" x14ac:dyDescent="0.3">
      <c r="A3" s="10" t="s">
        <v>104</v>
      </c>
      <c r="B3" t="s">
        <v>103</v>
      </c>
      <c r="H3" s="10" t="s">
        <v>104</v>
      </c>
      <c r="I3" t="s">
        <v>105</v>
      </c>
      <c r="L3" s="10" t="s">
        <v>104</v>
      </c>
      <c r="M3" t="s">
        <v>106</v>
      </c>
      <c r="Q3" s="10" t="s">
        <v>108</v>
      </c>
      <c r="R3" t="s">
        <v>107</v>
      </c>
      <c r="T3" s="10" t="s">
        <v>112</v>
      </c>
      <c r="U3" t="s">
        <v>107</v>
      </c>
      <c r="V3" t="s">
        <v>111</v>
      </c>
    </row>
    <row r="4" spans="1:22" x14ac:dyDescent="0.3">
      <c r="A4" s="11" t="s">
        <v>59</v>
      </c>
      <c r="B4" s="7">
        <v>2093</v>
      </c>
      <c r="D4" s="11" t="s">
        <v>59</v>
      </c>
      <c r="E4" s="7">
        <v>2093</v>
      </c>
      <c r="H4" s="11" t="s">
        <v>59</v>
      </c>
      <c r="I4" s="7">
        <v>20</v>
      </c>
      <c r="L4" s="11" t="s">
        <v>37</v>
      </c>
      <c r="M4" s="7">
        <v>1004</v>
      </c>
      <c r="Q4" s="11" t="s">
        <v>22</v>
      </c>
      <c r="R4" s="7">
        <v>6</v>
      </c>
      <c r="T4" s="11" t="s">
        <v>24</v>
      </c>
      <c r="U4" s="7">
        <v>95</v>
      </c>
      <c r="V4" s="12">
        <v>0.6785714285714286</v>
      </c>
    </row>
    <row r="5" spans="1:22" x14ac:dyDescent="0.3">
      <c r="A5" s="11" t="s">
        <v>29</v>
      </c>
      <c r="B5" s="7">
        <v>2120</v>
      </c>
      <c r="D5" s="11" t="s">
        <v>29</v>
      </c>
      <c r="E5" s="7">
        <v>2120</v>
      </c>
      <c r="H5" s="11" t="s">
        <v>29</v>
      </c>
      <c r="I5" s="7">
        <v>19</v>
      </c>
      <c r="L5" s="11" t="s">
        <v>29</v>
      </c>
      <c r="M5" s="7">
        <v>622</v>
      </c>
      <c r="Q5" s="11" t="s">
        <v>32</v>
      </c>
      <c r="R5" s="7">
        <v>5</v>
      </c>
      <c r="T5" s="11" t="s">
        <v>41</v>
      </c>
      <c r="U5" s="7">
        <v>45</v>
      </c>
      <c r="V5" s="12">
        <v>0.32142857142857145</v>
      </c>
    </row>
    <row r="6" spans="1:22" x14ac:dyDescent="0.3">
      <c r="A6" s="11" t="s">
        <v>94</v>
      </c>
      <c r="B6" s="7">
        <v>1676</v>
      </c>
      <c r="D6" s="11" t="s">
        <v>94</v>
      </c>
      <c r="E6" s="7">
        <v>1676</v>
      </c>
      <c r="H6" s="11" t="s">
        <v>94</v>
      </c>
      <c r="I6" s="7">
        <v>16</v>
      </c>
      <c r="L6" s="11" t="s">
        <v>87</v>
      </c>
      <c r="M6" s="7">
        <v>425</v>
      </c>
      <c r="Q6" s="11" t="s">
        <v>40</v>
      </c>
      <c r="R6" s="7">
        <v>5</v>
      </c>
      <c r="T6" s="11" t="s">
        <v>102</v>
      </c>
      <c r="U6" s="7">
        <v>140</v>
      </c>
      <c r="V6" s="12">
        <v>1</v>
      </c>
    </row>
    <row r="7" spans="1:22" x14ac:dyDescent="0.3">
      <c r="A7" s="11" t="s">
        <v>91</v>
      </c>
      <c r="B7" s="7">
        <v>589</v>
      </c>
      <c r="D7" s="11" t="s">
        <v>91</v>
      </c>
      <c r="E7" s="7">
        <v>589</v>
      </c>
      <c r="H7" s="11" t="s">
        <v>91</v>
      </c>
      <c r="I7" s="7">
        <v>6</v>
      </c>
      <c r="L7" s="11" t="s">
        <v>19</v>
      </c>
      <c r="M7" s="7">
        <v>361</v>
      </c>
      <c r="Q7" s="11" t="s">
        <v>45</v>
      </c>
      <c r="R7" s="7">
        <v>6</v>
      </c>
    </row>
    <row r="8" spans="1:22" x14ac:dyDescent="0.3">
      <c r="A8" s="11" t="s">
        <v>37</v>
      </c>
      <c r="B8" s="7">
        <v>3348</v>
      </c>
      <c r="D8" s="11" t="s">
        <v>37</v>
      </c>
      <c r="E8" s="7">
        <v>3348</v>
      </c>
      <c r="H8" s="11" t="s">
        <v>37</v>
      </c>
      <c r="I8" s="7">
        <v>31</v>
      </c>
      <c r="L8" s="11" t="s">
        <v>94</v>
      </c>
      <c r="M8" s="7">
        <v>320</v>
      </c>
      <c r="Q8" s="11" t="s">
        <v>48</v>
      </c>
      <c r="R8" s="7">
        <v>5</v>
      </c>
    </row>
    <row r="9" spans="1:22" x14ac:dyDescent="0.3">
      <c r="A9" s="11" t="s">
        <v>19</v>
      </c>
      <c r="B9" s="7">
        <v>2100</v>
      </c>
      <c r="D9" s="11" t="s">
        <v>19</v>
      </c>
      <c r="E9" s="7">
        <v>2100</v>
      </c>
      <c r="H9" s="11" t="s">
        <v>19</v>
      </c>
      <c r="I9" s="7">
        <v>20</v>
      </c>
      <c r="L9" s="11" t="s">
        <v>70</v>
      </c>
      <c r="M9" s="7">
        <v>256</v>
      </c>
      <c r="Q9" s="11" t="s">
        <v>52</v>
      </c>
      <c r="R9" s="7">
        <v>5</v>
      </c>
    </row>
    <row r="10" spans="1:22" x14ac:dyDescent="0.3">
      <c r="A10" s="11" t="s">
        <v>70</v>
      </c>
      <c r="B10" s="7">
        <v>998</v>
      </c>
      <c r="D10" s="11" t="s">
        <v>70</v>
      </c>
      <c r="E10" s="7">
        <v>998</v>
      </c>
      <c r="H10" s="11" t="s">
        <v>70</v>
      </c>
      <c r="I10" s="7">
        <v>10</v>
      </c>
      <c r="L10" s="11" t="s">
        <v>59</v>
      </c>
      <c r="M10" s="7">
        <v>250</v>
      </c>
      <c r="Q10" s="11" t="s">
        <v>54</v>
      </c>
      <c r="R10" s="7">
        <v>6</v>
      </c>
      <c r="T10" s="10" t="s">
        <v>113</v>
      </c>
      <c r="U10" t="s">
        <v>106</v>
      </c>
      <c r="V10" t="s">
        <v>103</v>
      </c>
    </row>
    <row r="11" spans="1:22" x14ac:dyDescent="0.3">
      <c r="A11" s="11" t="s">
        <v>87</v>
      </c>
      <c r="B11" s="7">
        <v>1764</v>
      </c>
      <c r="D11" s="11" t="s">
        <v>87</v>
      </c>
      <c r="E11" s="7">
        <v>1764</v>
      </c>
      <c r="H11" s="11" t="s">
        <v>87</v>
      </c>
      <c r="I11" s="7">
        <v>18</v>
      </c>
      <c r="L11" s="11" t="s">
        <v>91</v>
      </c>
      <c r="M11" s="7">
        <v>132</v>
      </c>
      <c r="Q11" s="11" t="s">
        <v>56</v>
      </c>
      <c r="R11" s="7">
        <v>5</v>
      </c>
      <c r="T11" s="11" t="s">
        <v>25</v>
      </c>
      <c r="U11" s="7">
        <v>397</v>
      </c>
      <c r="V11" s="7">
        <v>2079</v>
      </c>
    </row>
    <row r="12" spans="1:22" x14ac:dyDescent="0.3">
      <c r="A12" s="11" t="s">
        <v>102</v>
      </c>
      <c r="B12" s="7">
        <v>14688</v>
      </c>
      <c r="H12" s="11" t="s">
        <v>102</v>
      </c>
      <c r="I12" s="7">
        <v>140</v>
      </c>
      <c r="L12" s="11" t="s">
        <v>102</v>
      </c>
      <c r="M12" s="7">
        <v>3370</v>
      </c>
      <c r="Q12" s="11" t="s">
        <v>58</v>
      </c>
      <c r="R12" s="7">
        <v>5</v>
      </c>
      <c r="T12" s="11" t="s">
        <v>68</v>
      </c>
      <c r="U12" s="7">
        <v>456</v>
      </c>
      <c r="V12" s="7">
        <v>2163</v>
      </c>
    </row>
    <row r="13" spans="1:22" x14ac:dyDescent="0.3">
      <c r="Q13" s="11" t="s">
        <v>62</v>
      </c>
      <c r="R13" s="7">
        <v>6</v>
      </c>
      <c r="T13" s="11" t="s">
        <v>80</v>
      </c>
      <c r="U13" s="7">
        <v>338</v>
      </c>
      <c r="V13" s="7">
        <v>916</v>
      </c>
    </row>
    <row r="14" spans="1:22" x14ac:dyDescent="0.3">
      <c r="Q14" s="11" t="s">
        <v>64</v>
      </c>
      <c r="R14" s="7">
        <v>6</v>
      </c>
      <c r="T14" s="11" t="s">
        <v>65</v>
      </c>
      <c r="U14" s="7">
        <v>413</v>
      </c>
      <c r="V14" s="7">
        <v>1951</v>
      </c>
    </row>
    <row r="15" spans="1:22" x14ac:dyDescent="0.3">
      <c r="L15" s="11" t="s">
        <v>37</v>
      </c>
      <c r="M15" s="7">
        <v>1004</v>
      </c>
      <c r="Q15" s="11" t="s">
        <v>66</v>
      </c>
      <c r="R15" s="7">
        <v>5</v>
      </c>
      <c r="T15" s="11" t="s">
        <v>49</v>
      </c>
      <c r="U15" s="7">
        <v>850</v>
      </c>
      <c r="V15" s="7">
        <v>3523</v>
      </c>
    </row>
    <row r="16" spans="1:22" x14ac:dyDescent="0.3">
      <c r="L16" s="11" t="s">
        <v>29</v>
      </c>
      <c r="M16" s="7">
        <v>622</v>
      </c>
      <c r="Q16" s="11" t="s">
        <v>67</v>
      </c>
      <c r="R16" s="7">
        <v>5</v>
      </c>
      <c r="T16" s="11" t="s">
        <v>42</v>
      </c>
      <c r="U16" s="7">
        <v>504</v>
      </c>
      <c r="V16" s="7">
        <v>1902</v>
      </c>
    </row>
    <row r="17" spans="1:22" x14ac:dyDescent="0.3">
      <c r="L17" s="11" t="s">
        <v>87</v>
      </c>
      <c r="M17" s="7">
        <v>425</v>
      </c>
      <c r="Q17" s="11" t="s">
        <v>73</v>
      </c>
      <c r="R17" s="7">
        <v>5</v>
      </c>
      <c r="T17" s="11" t="s">
        <v>46</v>
      </c>
      <c r="U17" s="7">
        <v>412</v>
      </c>
      <c r="V17" s="7">
        <v>2154</v>
      </c>
    </row>
    <row r="18" spans="1:22" x14ac:dyDescent="0.3">
      <c r="A18" s="10" t="s">
        <v>109</v>
      </c>
      <c r="B18" t="s">
        <v>103</v>
      </c>
      <c r="G18" s="10" t="s">
        <v>110</v>
      </c>
      <c r="H18" t="s">
        <v>106</v>
      </c>
      <c r="L18" s="11" t="s">
        <v>19</v>
      </c>
      <c r="M18" s="7">
        <v>361</v>
      </c>
      <c r="Q18" s="11" t="s">
        <v>74</v>
      </c>
      <c r="R18" s="7">
        <v>5</v>
      </c>
      <c r="T18" s="11" t="s">
        <v>102</v>
      </c>
      <c r="U18" s="7">
        <v>3370</v>
      </c>
      <c r="V18" s="7">
        <v>14688</v>
      </c>
    </row>
    <row r="19" spans="1:22" x14ac:dyDescent="0.3">
      <c r="A19" s="11" t="s">
        <v>72</v>
      </c>
      <c r="B19" s="7">
        <v>1902</v>
      </c>
      <c r="G19" s="11" t="s">
        <v>20</v>
      </c>
      <c r="H19" s="7">
        <v>753</v>
      </c>
      <c r="L19" s="11" t="s">
        <v>94</v>
      </c>
      <c r="M19" s="7">
        <v>320</v>
      </c>
      <c r="Q19" s="11" t="s">
        <v>75</v>
      </c>
      <c r="R19" s="7">
        <v>5</v>
      </c>
    </row>
    <row r="20" spans="1:22" x14ac:dyDescent="0.3">
      <c r="A20" s="11" t="s">
        <v>101</v>
      </c>
      <c r="B20" s="7">
        <v>1132</v>
      </c>
      <c r="G20" s="11" t="s">
        <v>38</v>
      </c>
      <c r="H20" s="7">
        <v>889</v>
      </c>
      <c r="L20" s="11" t="s">
        <v>70</v>
      </c>
      <c r="M20" s="7">
        <v>256</v>
      </c>
      <c r="Q20" s="11" t="s">
        <v>77</v>
      </c>
      <c r="R20" s="7">
        <v>5</v>
      </c>
    </row>
    <row r="21" spans="1:22" x14ac:dyDescent="0.3">
      <c r="A21" s="11" t="s">
        <v>100</v>
      </c>
      <c r="B21" s="7">
        <v>1504</v>
      </c>
      <c r="G21" s="11" t="s">
        <v>92</v>
      </c>
      <c r="H21" s="7">
        <v>352</v>
      </c>
      <c r="L21" s="11" t="s">
        <v>59</v>
      </c>
      <c r="M21" s="7">
        <v>250</v>
      </c>
      <c r="Q21" s="11" t="s">
        <v>78</v>
      </c>
      <c r="R21" s="7">
        <v>5</v>
      </c>
    </row>
    <row r="22" spans="1:22" x14ac:dyDescent="0.3">
      <c r="A22" s="11" t="s">
        <v>31</v>
      </c>
      <c r="B22" s="7">
        <v>566</v>
      </c>
      <c r="G22" s="11" t="s">
        <v>71</v>
      </c>
      <c r="H22" s="7">
        <v>421</v>
      </c>
      <c r="L22" s="11" t="s">
        <v>91</v>
      </c>
      <c r="M22" s="7">
        <v>132</v>
      </c>
      <c r="Q22" s="11" t="s">
        <v>79</v>
      </c>
      <c r="R22" s="7">
        <v>5</v>
      </c>
    </row>
    <row r="23" spans="1:22" x14ac:dyDescent="0.3">
      <c r="A23" s="11" t="s">
        <v>99</v>
      </c>
      <c r="B23" s="7">
        <v>752</v>
      </c>
      <c r="G23" s="11" t="s">
        <v>30</v>
      </c>
      <c r="H23" s="7">
        <v>471</v>
      </c>
      <c r="Q23" s="11" t="s">
        <v>81</v>
      </c>
      <c r="R23" s="7">
        <v>5</v>
      </c>
      <c r="T23" s="10" t="s">
        <v>115</v>
      </c>
      <c r="U23" t="s">
        <v>114</v>
      </c>
    </row>
    <row r="24" spans="1:22" x14ac:dyDescent="0.3">
      <c r="A24" s="11" t="s">
        <v>97</v>
      </c>
      <c r="B24" s="7">
        <v>1270</v>
      </c>
      <c r="G24" s="11" t="s">
        <v>60</v>
      </c>
      <c r="H24" s="7">
        <v>484</v>
      </c>
      <c r="Q24" s="11" t="s">
        <v>82</v>
      </c>
      <c r="R24" s="7">
        <v>4</v>
      </c>
      <c r="T24" s="11" t="s">
        <v>18</v>
      </c>
      <c r="U24" s="16">
        <v>1108296.3</v>
      </c>
    </row>
    <row r="25" spans="1:22" x14ac:dyDescent="0.3">
      <c r="A25" s="11" t="s">
        <v>98</v>
      </c>
      <c r="B25" s="7">
        <v>1352</v>
      </c>
      <c r="G25" s="11" t="s">
        <v>102</v>
      </c>
      <c r="H25" s="7">
        <v>3370</v>
      </c>
      <c r="Q25" s="11" t="s">
        <v>83</v>
      </c>
      <c r="R25" s="7">
        <v>5</v>
      </c>
      <c r="T25" s="11" t="s">
        <v>95</v>
      </c>
      <c r="U25" s="16">
        <v>953682.00000000012</v>
      </c>
    </row>
    <row r="26" spans="1:22" x14ac:dyDescent="0.3">
      <c r="A26" s="11" t="s">
        <v>39</v>
      </c>
      <c r="B26" s="7">
        <v>1683</v>
      </c>
      <c r="Q26" s="11" t="s">
        <v>84</v>
      </c>
      <c r="R26" s="7">
        <v>5</v>
      </c>
      <c r="T26" s="11" t="s">
        <v>53</v>
      </c>
      <c r="U26" s="16">
        <v>537684.29999999993</v>
      </c>
    </row>
    <row r="27" spans="1:22" x14ac:dyDescent="0.3">
      <c r="A27" s="11" t="s">
        <v>61</v>
      </c>
      <c r="B27" s="7">
        <v>752</v>
      </c>
      <c r="Q27" s="11" t="s">
        <v>85</v>
      </c>
      <c r="R27" s="7">
        <v>4</v>
      </c>
      <c r="T27" s="11" t="s">
        <v>28</v>
      </c>
      <c r="U27" s="16">
        <v>413129.4</v>
      </c>
    </row>
    <row r="28" spans="1:22" x14ac:dyDescent="0.3">
      <c r="A28" s="11" t="s">
        <v>93</v>
      </c>
      <c r="B28" s="7">
        <v>191</v>
      </c>
      <c r="Q28" s="11" t="s">
        <v>86</v>
      </c>
      <c r="R28" s="7">
        <v>4</v>
      </c>
      <c r="T28" s="11" t="s">
        <v>57</v>
      </c>
      <c r="U28" s="16">
        <v>916020.29999999993</v>
      </c>
    </row>
    <row r="29" spans="1:22" x14ac:dyDescent="0.3">
      <c r="A29" s="11" t="s">
        <v>21</v>
      </c>
      <c r="B29" s="7">
        <v>2472</v>
      </c>
      <c r="Q29" s="11" t="s">
        <v>88</v>
      </c>
      <c r="R29" s="7">
        <v>5</v>
      </c>
      <c r="T29" s="11" t="s">
        <v>36</v>
      </c>
      <c r="U29" s="16">
        <v>1321515.5999999999</v>
      </c>
    </row>
    <row r="30" spans="1:22" x14ac:dyDescent="0.3">
      <c r="A30" s="11" t="s">
        <v>96</v>
      </c>
      <c r="B30" s="7">
        <v>1112</v>
      </c>
      <c r="Q30" s="11" t="s">
        <v>89</v>
      </c>
      <c r="R30" s="7">
        <v>4</v>
      </c>
      <c r="T30" s="11" t="s">
        <v>76</v>
      </c>
      <c r="U30" s="16">
        <v>369928.80000000005</v>
      </c>
    </row>
    <row r="31" spans="1:22" x14ac:dyDescent="0.3">
      <c r="A31" s="11" t="s">
        <v>102</v>
      </c>
      <c r="B31" s="7">
        <v>14688</v>
      </c>
      <c r="Q31" s="11" t="s">
        <v>90</v>
      </c>
      <c r="R31" s="7">
        <v>4</v>
      </c>
      <c r="T31" s="11" t="s">
        <v>55</v>
      </c>
      <c r="U31" s="16">
        <v>1392664.1999999997</v>
      </c>
    </row>
    <row r="32" spans="1:22" x14ac:dyDescent="0.3">
      <c r="Q32" s="11" t="s">
        <v>102</v>
      </c>
      <c r="R32" s="7">
        <v>140</v>
      </c>
      <c r="T32" s="11" t="s">
        <v>51</v>
      </c>
      <c r="U32" s="16">
        <v>809486.10000000009</v>
      </c>
    </row>
    <row r="33" spans="1:21" x14ac:dyDescent="0.3">
      <c r="T33" s="11" t="s">
        <v>44</v>
      </c>
      <c r="U33" s="16">
        <v>819174.29999999993</v>
      </c>
    </row>
    <row r="34" spans="1:21" x14ac:dyDescent="0.3">
      <c r="T34" s="11" t="s">
        <v>69</v>
      </c>
      <c r="U34" s="16">
        <v>766944.6</v>
      </c>
    </row>
    <row r="35" spans="1:21" x14ac:dyDescent="0.3">
      <c r="T35" s="11" t="s">
        <v>47</v>
      </c>
      <c r="U35" s="16">
        <v>1645365.6</v>
      </c>
    </row>
    <row r="36" spans="1:21" x14ac:dyDescent="0.3">
      <c r="T36" s="11" t="s">
        <v>102</v>
      </c>
      <c r="U36" s="16">
        <v>11053891.499999998</v>
      </c>
    </row>
    <row r="39" spans="1:21" x14ac:dyDescent="0.3">
      <c r="A39" t="s">
        <v>105</v>
      </c>
      <c r="C39" s="15" t="s">
        <v>116</v>
      </c>
      <c r="D39" s="15">
        <f>COUNTA(Q4:Q31)</f>
        <v>28</v>
      </c>
    </row>
    <row r="40" spans="1:21" x14ac:dyDescent="0.3">
      <c r="A40" s="7">
        <v>140</v>
      </c>
    </row>
    <row r="41" spans="1:21" x14ac:dyDescent="0.3">
      <c r="C41" s="15" t="s">
        <v>4</v>
      </c>
      <c r="D41" s="15">
        <f>COUNTA(A19:A30)</f>
        <v>12</v>
      </c>
    </row>
    <row r="42" spans="1:21" x14ac:dyDescent="0.3">
      <c r="A42" t="s">
        <v>114</v>
      </c>
    </row>
    <row r="43" spans="1:21" x14ac:dyDescent="0.3">
      <c r="A43" s="13">
        <v>11053891.5</v>
      </c>
      <c r="C43" s="15" t="s">
        <v>3</v>
      </c>
      <c r="D43" s="15">
        <f>COUNTA(G19:G24)</f>
        <v>6</v>
      </c>
    </row>
    <row r="45" spans="1:21" x14ac:dyDescent="0.3">
      <c r="A45" t="s">
        <v>103</v>
      </c>
    </row>
    <row r="46" spans="1:21" x14ac:dyDescent="0.3">
      <c r="A46" s="7">
        <v>14688</v>
      </c>
    </row>
    <row r="48" spans="1:21" x14ac:dyDescent="0.3">
      <c r="A48" t="s">
        <v>103</v>
      </c>
    </row>
    <row r="49" spans="1:1" x14ac:dyDescent="0.3">
      <c r="A49" s="14">
        <v>14688</v>
      </c>
    </row>
    <row r="51" spans="1:1" x14ac:dyDescent="0.3">
      <c r="A51" t="s">
        <v>106</v>
      </c>
    </row>
    <row r="52" spans="1:1" x14ac:dyDescent="0.3">
      <c r="A52" s="7">
        <v>3370</v>
      </c>
    </row>
  </sheetData>
  <protectedRanges>
    <protectedRange sqref="L4:M11" name="Range1"/>
  </protectedRange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2E4395-CC7F-4370-8675-2B4517B30816}">
  <dimension ref="A1"/>
  <sheetViews>
    <sheetView showGridLines="0" showRowColHeaders="0" tabSelected="1" zoomScale="39" zoomScaleNormal="85" workbookViewId="0">
      <selection activeCell="AT53" sqref="AT53"/>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20E2AE8-9521-488F-A2D6-111243C829E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pv</vt:lpstr>
      <vt:lpstr>Hotel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yasserarwa983@gmail.com</cp:lastModifiedBy>
  <dcterms:created xsi:type="dcterms:W3CDTF">2026-01-31T01:07:16Z</dcterms:created>
  <dcterms:modified xsi:type="dcterms:W3CDTF">2026-02-21T09:43:51Z</dcterms:modified>
</cp:coreProperties>
</file>